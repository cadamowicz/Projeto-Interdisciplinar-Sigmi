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1 - Investimentos fixos" sheetId="1" r:id="rId4"/>
    <sheet state="visible" name="5.2.0 - Estoque inicial" sheetId="2" r:id="rId5"/>
    <sheet state="visible" name="5.2.1 - Caixa mínimo" sheetId="3" r:id="rId6"/>
    <sheet state="visible" name="5.2 - Capital de giro" sheetId="4" r:id="rId7"/>
    <sheet state="visible" name="5.3 - Investimentos pré-operaci" sheetId="5" r:id="rId8"/>
    <sheet state="visible" name="5.4 - Investimento total (resum" sheetId="6" r:id="rId9"/>
    <sheet state="visible" name="5.5 – Estimativa do faturamento" sheetId="7" r:id="rId10"/>
    <sheet state="visible" name="5.6 - Estimativa custos comerci" sheetId="8" r:id="rId11"/>
    <sheet state="visible" name="5.7 – Estimativa dos custos de" sheetId="9" r:id="rId12"/>
    <sheet state="visible" name="5.8 - CMD CMV" sheetId="10" r:id="rId13"/>
    <sheet state="visible" name="5.9 - Mão de obra" sheetId="11" r:id="rId14"/>
    <sheet state="visible" name="5.11 - custos fixos operacionai" sheetId="12" r:id="rId15"/>
    <sheet state="visible" name="5.12 - Demonstrativo de Resulta" sheetId="13" r:id="rId16"/>
    <sheet state="visible" name="5.13.1 – Ponto de equilíbrio" sheetId="14" r:id="rId17"/>
    <sheet state="visible" name="5.13.2 – Lucratividade" sheetId="15" r:id="rId18"/>
    <sheet state="visible" name="5.13.3. Rentabilidade" sheetId="16" r:id="rId19"/>
    <sheet state="visible" name="5.13.4 – Prazo de retorno do in" sheetId="17" r:id="rId20"/>
  </sheets>
  <definedNames/>
  <calcPr/>
  <extLst>
    <ext uri="GoogleSheetsCustomDataVersion2">
      <go:sheetsCustomData xmlns:go="http://customooxmlschemas.google.com/" r:id="rId21" roundtripDataChecksum="h1f/Qvgb2ljXspp5kRxEywtkWl7MJ9qbiBb4DYuJ1Fg="/>
    </ext>
  </extLst>
</workbook>
</file>

<file path=xl/sharedStrings.xml><?xml version="1.0" encoding="utf-8"?>
<sst xmlns="http://schemas.openxmlformats.org/spreadsheetml/2006/main" count="226" uniqueCount="171">
  <si>
    <t>A) Máquinas e equipamentos</t>
  </si>
  <si>
    <t>Descrição</t>
  </si>
  <si>
    <t>Qtde.</t>
  </si>
  <si>
    <t>Valor unitário</t>
  </si>
  <si>
    <t>Total</t>
  </si>
  <si>
    <t>Servidor</t>
  </si>
  <si>
    <t>Software</t>
  </si>
  <si>
    <t xml:space="preserve">Nobreak </t>
  </si>
  <si>
    <t>Notebook</t>
  </si>
  <si>
    <t>Impressora</t>
  </si>
  <si>
    <t>Roteador</t>
  </si>
  <si>
    <t>TV/Monitor</t>
  </si>
  <si>
    <t>Sub-total</t>
  </si>
  <si>
    <t>B) Móveis e utensílios</t>
  </si>
  <si>
    <t>TELEVISÃO</t>
  </si>
  <si>
    <t>MESA DE CAFÉ</t>
  </si>
  <si>
    <t>RACK DE SERVIDOR</t>
  </si>
  <si>
    <t>BALCÃO DE RECEPÇÃO</t>
  </si>
  <si>
    <t>Mesa de Trabalho</t>
  </si>
  <si>
    <t>Mesa de reunião </t>
  </si>
  <si>
    <t>Cadeiras </t>
  </si>
  <si>
    <t>Armário </t>
  </si>
  <si>
    <t>C) Veículos/ Imóveis</t>
  </si>
  <si>
    <t>Carro</t>
  </si>
  <si>
    <t>Total de Investimentos Fixos</t>
  </si>
  <si>
    <t>A) Estimativa de Estoque inicial</t>
  </si>
  <si>
    <t>Resmas de papel A4</t>
  </si>
  <si>
    <t>Canetas esferográficas (un)</t>
  </si>
  <si>
    <t>lapiseiras (un)</t>
  </si>
  <si>
    <t>Caixas de clips para papel (caixa)</t>
  </si>
  <si>
    <t>Grampeador (un)</t>
  </si>
  <si>
    <t>Recarga de grampos para grampeador(caixa)</t>
  </si>
  <si>
    <t>Pastas de Arquivo (un)</t>
  </si>
  <si>
    <t>Blocos adesivos para anotações (blocos)</t>
  </si>
  <si>
    <t>Fita Adesiva (rolo)</t>
  </si>
  <si>
    <t>Bloco de Notas (bloco)</t>
  </si>
  <si>
    <t>Prazo médio de vendas</t>
  </si>
  <si>
    <t>%</t>
  </si>
  <si>
    <t>Número de dias</t>
  </si>
  <si>
    <t>Média Ponderada</t>
  </si>
  <si>
    <t>a vista</t>
  </si>
  <si>
    <t>Recursos da empresa fora do seu caixa</t>
  </si>
  <si>
    <t>a prazo (1)</t>
  </si>
  <si>
    <t>1. Contas a Receber – prazo médio de vendas</t>
  </si>
  <si>
    <t>a prazo (2)</t>
  </si>
  <si>
    <t>2. Estoques – necessidade média de estoques</t>
  </si>
  <si>
    <t>a prazo (3)</t>
  </si>
  <si>
    <t>Subtotal 1 (item 1+2)</t>
  </si>
  <si>
    <t>a prazo (4)</t>
  </si>
  <si>
    <t>Recursos de terceiros no caixa da empresa</t>
  </si>
  <si>
    <t>a prazo (5)</t>
  </si>
  <si>
    <t>3. Fornecedores – prazo médio de compras</t>
  </si>
  <si>
    <t>Prazo médio total (dias)</t>
  </si>
  <si>
    <t>Subtotal 2</t>
  </si>
  <si>
    <t>Necessidade Líquida de Capital de Giro em dias</t>
  </si>
  <si>
    <t>Prazo médio de compras</t>
  </si>
  <si>
    <t>B) Caixa mínimo</t>
  </si>
  <si>
    <t>1. Custo fixo mensal (Quadro 5.11)</t>
  </si>
  <si>
    <t>2. Custo variável mensal (Subtotal 2 do quadro 5.12)</t>
  </si>
  <si>
    <t>3. Custo total da empresa (item 1 + 2)</t>
  </si>
  <si>
    <t>4. Custo total diário (item 3 ÷ 30 dias)</t>
  </si>
  <si>
    <t>5. Necessidade Líquida de Capital de Giro em dias</t>
  </si>
  <si>
    <t>Total de B – Caixa mínimo (item 4 x 5)</t>
  </si>
  <si>
    <t>Necessidade média de estoque</t>
  </si>
  <si>
    <t>Capital de giro</t>
  </si>
  <si>
    <t>R$</t>
  </si>
  <si>
    <t>A – Estoque inicial</t>
  </si>
  <si>
    <t>B – Caixa mínimo</t>
  </si>
  <si>
    <t>Total do capital de giro (A +B)</t>
  </si>
  <si>
    <t>Investimento pré-operacional</t>
  </si>
  <si>
    <t>Despesas de legalização</t>
  </si>
  <si>
    <t>Obras civis e ou reforma</t>
  </si>
  <si>
    <t>Divulgação</t>
  </si>
  <si>
    <t>Cursos e treinamentos</t>
  </si>
  <si>
    <t>Outras despesas</t>
  </si>
  <si>
    <t>Descrição dos investimentos</t>
  </si>
  <si>
    <t>Valor (R$)</t>
  </si>
  <si>
    <t>(%)</t>
  </si>
  <si>
    <t>1. Investimento fixo</t>
  </si>
  <si>
    <t>2. Capital de Giro </t>
  </si>
  <si>
    <t>3. Investimento pré-operacional</t>
  </si>
  <si>
    <t>Total (1+2+3)</t>
  </si>
  <si>
    <t>Fontes de recursos</t>
  </si>
  <si>
    <t>1. Recursos próprios</t>
  </si>
  <si>
    <t>2. Recursos de terceiros</t>
  </si>
  <si>
    <t>3. Outros</t>
  </si>
  <si>
    <t>Produto/ Serviço</t>
  </si>
  <si>
    <t>Quantidade (Estimativa de Vendas)</t>
  </si>
  <si>
    <t>Preço de Venda Unitário (em R$)</t>
  </si>
  <si>
    <t>Faturamento Total (em R$)</t>
  </si>
  <si>
    <t>Assinatura anual</t>
  </si>
  <si>
    <t>Produto/ Serviço 1</t>
  </si>
  <si>
    <t>Material/insumos </t>
  </si>
  <si>
    <t>Qtd.</t>
  </si>
  <si>
    <t>Custo Unitário (R$)</t>
  </si>
  <si>
    <t>Total (R$)</t>
  </si>
  <si>
    <t>Produto/ Serviço 2</t>
  </si>
  <si>
    <t>Faturamento estimando</t>
  </si>
  <si>
    <t>Custo total</t>
  </si>
  <si>
    <t>1. Imposto</t>
  </si>
  <si>
    <t>Impostos Federais</t>
  </si>
  <si>
    <t>SIMPLES</t>
  </si>
  <si>
    <t>IRPJ</t>
  </si>
  <si>
    <t>PIS</t>
  </si>
  <si>
    <t>COFINS</t>
  </si>
  <si>
    <t>CSLL</t>
  </si>
  <si>
    <t>Impostos Estaduais</t>
  </si>
  <si>
    <t>ICMS</t>
  </si>
  <si>
    <t>Impostos Municipais</t>
  </si>
  <si>
    <t>ISS</t>
  </si>
  <si>
    <t>Subtotal 1</t>
  </si>
  <si>
    <t>2. Gastos com vendas</t>
  </si>
  <si>
    <t>Comissões</t>
  </si>
  <si>
    <t>Propaganda</t>
  </si>
  <si>
    <t>Taxa de cartão de crédito</t>
  </si>
  <si>
    <t>TOTAL (Subtotal 1+ 2)</t>
  </si>
  <si>
    <t>Estimativa de Vendas (em unidade)</t>
  </si>
  <si>
    <t>Custo Unitário de Materiais/ Aquisição (R$)</t>
  </si>
  <si>
    <t>CMD/CMV (R$)</t>
  </si>
  <si>
    <t>Função</t>
  </si>
  <si>
    <t>Nº de empregados</t>
  </si>
  <si>
    <t>Salario mensal (R$)</t>
  </si>
  <si>
    <t>(%) de encargos sociais</t>
  </si>
  <si>
    <t>Encargos sociais (R$)</t>
  </si>
  <si>
    <t>Administrador de banco de dados</t>
  </si>
  <si>
    <t>Administrador de Redes</t>
  </si>
  <si>
    <t>Analista de sistemas</t>
  </si>
  <si>
    <t>Custo Total Mensal (em R$)</t>
  </si>
  <si>
    <t>Aluguel</t>
  </si>
  <si>
    <t>Condomínio</t>
  </si>
  <si>
    <t>IPTU</t>
  </si>
  <si>
    <t>Água</t>
  </si>
  <si>
    <t>Energia Elétrica</t>
  </si>
  <si>
    <t>Telefone</t>
  </si>
  <si>
    <t>Honorários do Contador</t>
  </si>
  <si>
    <t>Pró-labore</t>
  </si>
  <si>
    <t>Manutenção de equipamentos</t>
  </si>
  <si>
    <t>Salários + encargos (Anexo 2)</t>
  </si>
  <si>
    <t>Material de Limpeza</t>
  </si>
  <si>
    <t>Material de Escritório</t>
  </si>
  <si>
    <t>Combustível</t>
  </si>
  <si>
    <t>Taxas diversas</t>
  </si>
  <si>
    <t>Serviços de terceiros</t>
  </si>
  <si>
    <t>Depreciação</t>
  </si>
  <si>
    <t xml:space="preserve">Treinamento </t>
  </si>
  <si>
    <t>Quadro</t>
  </si>
  <si>
    <t>5.5</t>
  </si>
  <si>
    <t>1. Receita total com vendas</t>
  </si>
  <si>
    <t>2. Custos variáveis totais</t>
  </si>
  <si>
    <t>5.8</t>
  </si>
  <si>
    <t>(-) CMV(*)</t>
  </si>
  <si>
    <t>5.7</t>
  </si>
  <si>
    <t>(-) Impostos sobre venda</t>
  </si>
  <si>
    <t>(-) Gastos com vendas</t>
  </si>
  <si>
    <t>3. Margem de Contribuição</t>
  </si>
  <si>
    <t>5.11</t>
  </si>
  <si>
    <t>4. (-) Custos fixos totais</t>
  </si>
  <si>
    <t>Resultado operacional</t>
  </si>
  <si>
    <t>Receita total</t>
  </si>
  <si>
    <t>Custo variavel total</t>
  </si>
  <si>
    <t>Custo fixo total</t>
  </si>
  <si>
    <t>Índice da Margem de Contribuição</t>
  </si>
  <si>
    <t>Ponto de equilíbrio</t>
  </si>
  <si>
    <t>Lucro Líquido</t>
  </si>
  <si>
    <t>Receita Total</t>
  </si>
  <si>
    <t>Lucratividade</t>
  </si>
  <si>
    <t>Investimento Total</t>
  </si>
  <si>
    <t>Rentabilidade</t>
  </si>
  <si>
    <t>Retorno do Investimento</t>
  </si>
  <si>
    <t>6 meses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</si>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</sst>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_-&quot;R$&quot;\ * #,##0.00_-;\-&quot;R$&quot;\ * #,##0.00_-;_-&quot;R$&quot;\ * &quot;-&quot;??_-;_-@"/>
    <numFmt numFmtId="166" formatCode="&quot;R$&quot;\ #,##0.00;[Red]\-&quot;R$&quot;\ #,##0.00"/>
    <numFmt numFmtId="167" formatCode="0.000000000"/>
  </numFmts>
  <fonts count="12">
    <font>
      <sz val="11.0"/>
      <color theme="1"/>
      <name val="Calibri"/>
      <scheme val="minor"/>
    </font>
    <font>
      <b/>
      <sz val="12.0"/>
      <color rgb="FF000000"/>
      <name val="Arial"/>
    </font>
    <font/>
    <font>
      <sz val="11.0"/>
      <color theme="1"/>
      <name val="Calibri"/>
    </font>
    <font>
      <sz val="12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FF0000"/>
      <name val="Arial"/>
    </font>
    <font>
      <sz val="12.0"/>
      <color rgb="FF4A86E8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4" numFmtId="0" xfId="0" applyAlignment="1" applyBorder="1" applyFont="1">
      <alignment shrinkToFit="0" vertical="center" wrapText="1"/>
    </xf>
    <xf borderId="4" fillId="0" fontId="4" numFmtId="4" xfId="0" applyAlignment="1" applyBorder="1" applyFont="1" applyNumberFormat="1">
      <alignment horizontal="center" shrinkToFit="0" vertical="center" wrapText="1"/>
    </xf>
    <xf borderId="4" fillId="2" fontId="4" numFmtId="164" xfId="0" applyAlignment="1" applyBorder="1" applyFill="1" applyFont="1" applyNumberFormat="1">
      <alignment horizontal="left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166" xfId="0" applyAlignment="1" applyBorder="1" applyFont="1" applyNumberForma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4" fillId="0" fontId="6" numFmtId="0" xfId="0" applyAlignment="1" applyBorder="1" applyFont="1">
      <alignment shrinkToFit="0" vertical="top" wrapText="1"/>
    </xf>
    <xf borderId="4" fillId="0" fontId="6" numFmtId="165" xfId="0" applyAlignment="1" applyBorder="1" applyFont="1" applyNumberFormat="1">
      <alignment shrinkToFit="0" vertical="top" wrapText="1"/>
    </xf>
    <xf borderId="4" fillId="2" fontId="6" numFmtId="164" xfId="0" applyAlignment="1" applyBorder="1" applyFont="1" applyNumberFormat="1">
      <alignment shrinkToFit="0" vertical="top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2" fontId="4" numFmtId="165" xfId="0" applyAlignment="1" applyBorder="1" applyFont="1" applyNumberFormat="1">
      <alignment horizontal="left" shrinkToFit="0" vertical="center" wrapText="1"/>
    </xf>
    <xf borderId="4" fillId="0" fontId="1" numFmtId="165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center" wrapText="1"/>
    </xf>
    <xf borderId="4" fillId="0" fontId="4" numFmtId="9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4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2" fontId="7" numFmtId="164" xfId="0" applyAlignment="1" applyBorder="1" applyFont="1" applyNumberFormat="1">
      <alignment horizontal="center" shrinkToFit="0" vertical="top" wrapText="1"/>
    </xf>
    <xf borderId="4" fillId="2" fontId="4" numFmtId="164" xfId="0" applyAlignment="1" applyBorder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0" fillId="0" fontId="3" numFmtId="165" xfId="0" applyFont="1" applyNumberFormat="1"/>
    <xf borderId="4" fillId="2" fontId="4" numFmtId="9" xfId="0" applyAlignment="1" applyBorder="1" applyFont="1" applyNumberFormat="1">
      <alignment horizontal="center" shrinkToFit="0" vertical="center" wrapText="1"/>
    </xf>
    <xf borderId="4" fillId="2" fontId="8" numFmtId="166" xfId="0" applyAlignment="1" applyBorder="1" applyFont="1" applyNumberFormat="1">
      <alignment shrinkToFit="0" vertical="top" wrapText="1"/>
    </xf>
    <xf borderId="4" fillId="2" fontId="1" numFmtId="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4" fillId="0" fontId="4" numFmtId="166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right" shrinkToFit="0" vertical="center" wrapText="1"/>
    </xf>
    <xf borderId="4" fillId="2" fontId="8" numFmtId="166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top" wrapText="1"/>
    </xf>
    <xf borderId="4" fillId="2" fontId="4" numFmtId="166" xfId="0" applyAlignment="1" applyBorder="1" applyFont="1" applyNumberFormat="1">
      <alignment horizontal="left" shrinkToFit="0" vertical="center" wrapText="1"/>
    </xf>
    <xf borderId="4" fillId="2" fontId="1" numFmtId="166" xfId="0" applyAlignment="1" applyBorder="1" applyFont="1" applyNumberFormat="1">
      <alignment horizontal="left" shrinkToFit="0" vertical="center" wrapText="1"/>
    </xf>
    <xf borderId="4" fillId="0" fontId="4" numFmtId="10" xfId="0" applyAlignment="1" applyBorder="1" applyFont="1" applyNumberFormat="1">
      <alignment horizontal="left" shrinkToFit="0" vertical="center" wrapText="1"/>
    </xf>
    <xf borderId="4" fillId="0" fontId="3" numFmtId="10" xfId="0" applyAlignment="1" applyBorder="1" applyFont="1" applyNumberFormat="1">
      <alignment shrinkToFit="0" vertical="top" wrapText="1"/>
    </xf>
    <xf borderId="4" fillId="0" fontId="4" numFmtId="9" xfId="0" applyAlignment="1" applyBorder="1" applyFont="1" applyNumberFormat="1">
      <alignment horizontal="right" shrinkToFit="0" vertical="center" wrapText="1"/>
    </xf>
    <xf borderId="4" fillId="2" fontId="7" numFmtId="166" xfId="0" applyAlignment="1" applyBorder="1" applyFont="1" applyNumberFormat="1">
      <alignment horizontal="center" shrinkToFit="0" vertical="top" wrapText="1"/>
    </xf>
    <xf borderId="4" fillId="2" fontId="1" numFmtId="166" xfId="0" applyAlignment="1" applyBorder="1" applyFont="1" applyNumberFormat="1">
      <alignment horizontal="center" shrinkToFit="0" vertical="center" wrapText="1"/>
    </xf>
    <xf borderId="4" fillId="0" fontId="7" numFmtId="0" xfId="0" applyBorder="1" applyFont="1"/>
    <xf borderId="0" fillId="0" fontId="7" numFmtId="0" xfId="0" applyFont="1"/>
    <xf borderId="4" fillId="0" fontId="4" numFmtId="165" xfId="0" applyAlignment="1" applyBorder="1" applyFont="1" applyNumberFormat="1">
      <alignment horizontal="right"/>
    </xf>
    <xf borderId="4" fillId="0" fontId="7" numFmtId="9" xfId="0" applyBorder="1" applyFont="1" applyNumberFormat="1"/>
    <xf borderId="4" fillId="2" fontId="7" numFmtId="165" xfId="0" applyBorder="1" applyFont="1" applyNumberFormat="1"/>
    <xf borderId="0" fillId="0" fontId="4" numFmtId="165" xfId="0" applyAlignment="1" applyFont="1" applyNumberFormat="1">
      <alignment horizontal="right"/>
    </xf>
    <xf borderId="4" fillId="0" fontId="4" numFmtId="165" xfId="0" applyAlignment="1" applyBorder="1" applyFont="1" applyNumberFormat="1">
      <alignment horizontal="right" shrinkToFit="0" vertical="center" wrapText="1"/>
    </xf>
    <xf borderId="4" fillId="0" fontId="7" numFmtId="165" xfId="0" applyBorder="1" applyFont="1" applyNumberFormat="1"/>
    <xf borderId="1" fillId="0" fontId="8" numFmtId="0" xfId="0" applyAlignment="1" applyBorder="1" applyFont="1">
      <alignment horizontal="right"/>
    </xf>
    <xf borderId="4" fillId="2" fontId="8" numFmtId="165" xfId="0" applyBorder="1" applyFont="1" applyNumberFormat="1"/>
    <xf borderId="4" fillId="0" fontId="7" numFmtId="164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2" fontId="7" numFmtId="166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right"/>
    </xf>
    <xf borderId="4" fillId="2" fontId="9" numFmtId="166" xfId="0" applyAlignment="1" applyBorder="1" applyFont="1" applyNumberFormat="1">
      <alignment horizontal="center"/>
    </xf>
    <xf borderId="4" fillId="2" fontId="9" numFmtId="164" xfId="0" applyAlignment="1" applyBorder="1" applyFont="1" applyNumberFormat="1">
      <alignment horizontal="center"/>
    </xf>
    <xf borderId="4" fillId="2" fontId="10" numFmtId="166" xfId="0" applyAlignment="1" applyBorder="1" applyFont="1" applyNumberFormat="1">
      <alignment horizontal="center"/>
    </xf>
    <xf borderId="0" fillId="0" fontId="3" numFmtId="164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0" fontId="3" numFmtId="10" xfId="0" applyFont="1" applyNumberFormat="1"/>
    <xf borderId="0" fillId="0" fontId="3" numFmtId="167" xfId="0" applyFont="1" applyNumberFormat="1"/>
    <xf borderId="0" fillId="0" fontId="3" numFmtId="3" xfId="0" applyFont="1" applyNumberForma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7.0"/>
    <col customWidth="1" min="4" max="4" width="16.0"/>
    <col customWidth="1" min="5" max="5" width="15.71"/>
    <col customWidth="1" min="6" max="6" width="9.14"/>
    <col customWidth="1" min="7" max="26" width="8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1.0</v>
      </c>
      <c r="B3" s="7" t="s">
        <v>5</v>
      </c>
      <c r="C3" s="8">
        <v>1.0</v>
      </c>
      <c r="D3" s="9">
        <v>35000.0</v>
      </c>
      <c r="E3" s="10">
        <f t="shared" ref="E3:E9" si="1">C3*D3</f>
        <v>35000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2.0</v>
      </c>
      <c r="B4" s="7" t="s">
        <v>6</v>
      </c>
      <c r="C4" s="8">
        <v>1.0</v>
      </c>
      <c r="D4" s="11">
        <v>10000.0</v>
      </c>
      <c r="E4" s="10">
        <f t="shared" si="1"/>
        <v>10000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3.0</v>
      </c>
      <c r="B5" s="7" t="s">
        <v>7</v>
      </c>
      <c r="C5" s="8">
        <v>2.0</v>
      </c>
      <c r="D5" s="11">
        <v>2200.0</v>
      </c>
      <c r="E5" s="10">
        <f t="shared" si="1"/>
        <v>4400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4.0</v>
      </c>
      <c r="B6" s="13" t="s">
        <v>8</v>
      </c>
      <c r="C6" s="8">
        <v>5.0</v>
      </c>
      <c r="D6" s="14">
        <v>2800.0</v>
      </c>
      <c r="E6" s="10">
        <f t="shared" si="1"/>
        <v>14000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5.0</v>
      </c>
      <c r="B7" s="15" t="s">
        <v>9</v>
      </c>
      <c r="C7" s="8">
        <v>1.0</v>
      </c>
      <c r="D7" s="14">
        <v>2500.0</v>
      </c>
      <c r="E7" s="10">
        <f t="shared" si="1"/>
        <v>2500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>
        <v>6.0</v>
      </c>
      <c r="B8" s="15" t="s">
        <v>10</v>
      </c>
      <c r="C8" s="8">
        <v>1.0</v>
      </c>
      <c r="D8" s="14">
        <v>7000.0</v>
      </c>
      <c r="E8" s="10">
        <f t="shared" si="1"/>
        <v>7000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>
        <v>7.0</v>
      </c>
      <c r="B9" s="15" t="s">
        <v>11</v>
      </c>
      <c r="C9" s="8">
        <v>10.0</v>
      </c>
      <c r="D9" s="14">
        <v>790.0</v>
      </c>
      <c r="E9" s="10">
        <f t="shared" si="1"/>
        <v>7900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12</v>
      </c>
      <c r="B10" s="2"/>
      <c r="C10" s="2"/>
      <c r="D10" s="3"/>
      <c r="E10" s="10">
        <f>SUM(E3:E9)</f>
        <v>80800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13</v>
      </c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6" t="s">
        <v>1</v>
      </c>
      <c r="C12" s="6" t="s">
        <v>2</v>
      </c>
      <c r="D12" s="6" t="s">
        <v>3</v>
      </c>
      <c r="E12" s="6" t="s">
        <v>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1.0</v>
      </c>
      <c r="B13" s="17" t="s">
        <v>14</v>
      </c>
      <c r="C13" s="12">
        <v>3.0</v>
      </c>
      <c r="D13" s="11">
        <v>2200.0</v>
      </c>
      <c r="E13" s="10">
        <f>C13*D13</f>
        <v>6600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2.0</v>
      </c>
      <c r="B14" s="17" t="s">
        <v>15</v>
      </c>
      <c r="C14" s="12">
        <v>2.0</v>
      </c>
      <c r="D14" s="11">
        <v>200.0</v>
      </c>
      <c r="E14" s="10">
        <v>200.0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3.0</v>
      </c>
      <c r="B15" s="17" t="s">
        <v>16</v>
      </c>
      <c r="C15" s="12">
        <v>1.0</v>
      </c>
      <c r="D15" s="11">
        <v>1500.0</v>
      </c>
      <c r="E15" s="10">
        <f t="shared" ref="E15:E20" si="2">C15*D15</f>
        <v>1500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4.0</v>
      </c>
      <c r="B16" s="17" t="s">
        <v>17</v>
      </c>
      <c r="C16" s="12">
        <v>1.0</v>
      </c>
      <c r="D16" s="11">
        <v>1800.0</v>
      </c>
      <c r="E16" s="10">
        <f t="shared" si="2"/>
        <v>1800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>
        <v>5.0</v>
      </c>
      <c r="B17" s="15" t="s">
        <v>18</v>
      </c>
      <c r="C17" s="15">
        <v>5.0</v>
      </c>
      <c r="D17" s="14">
        <v>400.0</v>
      </c>
      <c r="E17" s="10">
        <f t="shared" si="2"/>
        <v>2000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>
        <v>6.0</v>
      </c>
      <c r="B18" s="15" t="s">
        <v>19</v>
      </c>
      <c r="C18" s="15">
        <v>1.0</v>
      </c>
      <c r="D18" s="14">
        <v>1500.0</v>
      </c>
      <c r="E18" s="10">
        <f t="shared" si="2"/>
        <v>1500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>
        <v>7.0</v>
      </c>
      <c r="B19" s="15" t="s">
        <v>20</v>
      </c>
      <c r="C19" s="15">
        <v>12.0</v>
      </c>
      <c r="D19" s="14">
        <v>450.0</v>
      </c>
      <c r="E19" s="10">
        <f t="shared" si="2"/>
        <v>5400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>
        <v>8.0</v>
      </c>
      <c r="B20" s="15" t="s">
        <v>21</v>
      </c>
      <c r="C20" s="15">
        <v>6.0</v>
      </c>
      <c r="D20" s="14">
        <v>800.0</v>
      </c>
      <c r="E20" s="10">
        <f t="shared" si="2"/>
        <v>4800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 t="s">
        <v>12</v>
      </c>
      <c r="B21" s="2"/>
      <c r="C21" s="2"/>
      <c r="D21" s="3"/>
      <c r="E21" s="10">
        <f>SUM(E13:E20)</f>
        <v>23800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22</v>
      </c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/>
      <c r="B23" s="6" t="s">
        <v>1</v>
      </c>
      <c r="C23" s="6" t="s">
        <v>2</v>
      </c>
      <c r="D23" s="6" t="s">
        <v>3</v>
      </c>
      <c r="E23" s="6" t="s">
        <v>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>
        <v>1.0</v>
      </c>
      <c r="B24" s="18" t="s">
        <v>23</v>
      </c>
      <c r="C24" s="5">
        <v>1.0</v>
      </c>
      <c r="D24" s="19">
        <v>35000.0</v>
      </c>
      <c r="E24" s="20">
        <f t="shared" ref="E24:E25" si="3">D24*C24</f>
        <v>35000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">
        <v>2.0</v>
      </c>
      <c r="B25" s="5"/>
      <c r="C25" s="5"/>
      <c r="D25" s="5"/>
      <c r="E25" s="20">
        <f t="shared" si="3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 t="s">
        <v>12</v>
      </c>
      <c r="B26" s="2"/>
      <c r="C26" s="2"/>
      <c r="D26" s="3"/>
      <c r="E26" s="10">
        <f>SUM(E24:E25)</f>
        <v>35000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 t="s">
        <v>24</v>
      </c>
      <c r="B27" s="2"/>
      <c r="C27" s="3"/>
      <c r="D27" s="15" t="s">
        <v>12</v>
      </c>
      <c r="E27" s="10">
        <f>SUM(E10,E21,E26)</f>
        <v>139600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7">
    <mergeCell ref="A1:E1"/>
    <mergeCell ref="A10:D10"/>
    <mergeCell ref="A11:E11"/>
    <mergeCell ref="A21:D21"/>
    <mergeCell ref="A22:E22"/>
    <mergeCell ref="A26:D26"/>
    <mergeCell ref="A27:C2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6.86"/>
    <col customWidth="1" min="3" max="3" width="7.0"/>
    <col customWidth="1" min="4" max="4" width="16.0"/>
    <col customWidth="1" min="5" max="5" width="14.57"/>
    <col customWidth="1" min="6" max="26" width="49.14"/>
  </cols>
  <sheetData>
    <row r="1">
      <c r="A1" s="1" t="s">
        <v>25</v>
      </c>
      <c r="B1" s="2"/>
      <c r="C1" s="2"/>
      <c r="D1" s="2"/>
      <c r="E1" s="3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</row>
    <row r="3">
      <c r="A3" s="5">
        <v>1.0</v>
      </c>
      <c r="B3" s="7" t="s">
        <v>26</v>
      </c>
      <c r="C3" s="6">
        <v>10.0</v>
      </c>
      <c r="D3" s="21">
        <v>25.0</v>
      </c>
      <c r="E3" s="22">
        <f t="shared" ref="E3:E12" si="1">D3*C3</f>
        <v>250</v>
      </c>
    </row>
    <row r="4">
      <c r="A4" s="5">
        <v>2.0</v>
      </c>
      <c r="B4" s="7" t="s">
        <v>27</v>
      </c>
      <c r="C4" s="6">
        <v>50.0</v>
      </c>
      <c r="D4" s="21">
        <v>1.5</v>
      </c>
      <c r="E4" s="22">
        <f t="shared" si="1"/>
        <v>75</v>
      </c>
    </row>
    <row r="5">
      <c r="A5" s="5">
        <v>3.0</v>
      </c>
      <c r="B5" s="7" t="s">
        <v>28</v>
      </c>
      <c r="C5" s="6">
        <v>30.0</v>
      </c>
      <c r="D5" s="21">
        <v>1.5</v>
      </c>
      <c r="E5" s="22">
        <f t="shared" si="1"/>
        <v>45</v>
      </c>
    </row>
    <row r="6">
      <c r="A6" s="5">
        <v>4.0</v>
      </c>
      <c r="B6" s="7" t="s">
        <v>29</v>
      </c>
      <c r="C6" s="6">
        <v>10.0</v>
      </c>
      <c r="D6" s="21">
        <v>20.0</v>
      </c>
      <c r="E6" s="22">
        <f t="shared" si="1"/>
        <v>200</v>
      </c>
    </row>
    <row r="7">
      <c r="A7" s="5">
        <v>5.0</v>
      </c>
      <c r="B7" s="7" t="s">
        <v>30</v>
      </c>
      <c r="C7" s="6">
        <v>5.0</v>
      </c>
      <c r="D7" s="21">
        <v>20.0</v>
      </c>
      <c r="E7" s="22">
        <f t="shared" si="1"/>
        <v>100</v>
      </c>
    </row>
    <row r="8">
      <c r="A8" s="5">
        <v>6.0</v>
      </c>
      <c r="B8" s="7" t="s">
        <v>31</v>
      </c>
      <c r="C8" s="6">
        <v>10.0</v>
      </c>
      <c r="D8" s="21">
        <v>15.0</v>
      </c>
      <c r="E8" s="22">
        <f t="shared" si="1"/>
        <v>150</v>
      </c>
    </row>
    <row r="9">
      <c r="A9" s="5">
        <v>7.0</v>
      </c>
      <c r="B9" s="7" t="s">
        <v>32</v>
      </c>
      <c r="C9" s="6">
        <v>20.0</v>
      </c>
      <c r="D9" s="21">
        <v>25.0</v>
      </c>
      <c r="E9" s="22">
        <f t="shared" si="1"/>
        <v>500</v>
      </c>
    </row>
    <row r="10">
      <c r="A10" s="12">
        <v>8.0</v>
      </c>
      <c r="B10" s="7" t="s">
        <v>33</v>
      </c>
      <c r="C10" s="6">
        <v>15.0</v>
      </c>
      <c r="D10" s="23">
        <v>5.0</v>
      </c>
      <c r="E10" s="22">
        <f t="shared" si="1"/>
        <v>75</v>
      </c>
    </row>
    <row r="11">
      <c r="A11" s="12">
        <v>9.0</v>
      </c>
      <c r="B11" s="7" t="s">
        <v>34</v>
      </c>
      <c r="C11" s="6">
        <v>10.0</v>
      </c>
      <c r="D11" s="23">
        <v>4.0</v>
      </c>
      <c r="E11" s="22">
        <f t="shared" si="1"/>
        <v>40</v>
      </c>
    </row>
    <row r="12">
      <c r="A12" s="12">
        <v>10.0</v>
      </c>
      <c r="B12" s="7" t="s">
        <v>35</v>
      </c>
      <c r="C12" s="6">
        <v>10.0</v>
      </c>
      <c r="D12" s="23">
        <v>7.0</v>
      </c>
      <c r="E12" s="22">
        <f t="shared" si="1"/>
        <v>70</v>
      </c>
    </row>
    <row r="13">
      <c r="A13" s="16" t="s">
        <v>12</v>
      </c>
      <c r="B13" s="2"/>
      <c r="C13" s="2"/>
      <c r="D13" s="3"/>
      <c r="E13" s="22">
        <f>SUM(E3:E12)</f>
        <v>1505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A1:E1"/>
    <mergeCell ref="A13:D1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7.29"/>
    <col customWidth="1" min="3" max="3" width="18.71"/>
    <col customWidth="1" min="4" max="4" width="20.57"/>
    <col customWidth="1" min="5" max="5" width="11.0"/>
    <col customWidth="1" min="6" max="6" width="55.14"/>
    <col customWidth="1" min="7" max="7" width="18.71"/>
    <col customWidth="1" min="8" max="26" width="35.29"/>
  </cols>
  <sheetData>
    <row r="1">
      <c r="A1" s="6" t="s">
        <v>36</v>
      </c>
      <c r="B1" s="6" t="s">
        <v>37</v>
      </c>
      <c r="C1" s="6" t="s">
        <v>38</v>
      </c>
      <c r="D1" s="6" t="s">
        <v>39</v>
      </c>
      <c r="F1" s="24"/>
      <c r="G1" s="25" t="s">
        <v>38</v>
      </c>
    </row>
    <row r="2">
      <c r="A2" s="12" t="s">
        <v>40</v>
      </c>
      <c r="B2" s="26">
        <v>1.0</v>
      </c>
      <c r="C2" s="12">
        <v>30.0</v>
      </c>
      <c r="D2" s="27">
        <f t="shared" ref="D2:D7" si="1">C2*B2</f>
        <v>30</v>
      </c>
      <c r="F2" s="28" t="s">
        <v>41</v>
      </c>
      <c r="G2" s="29"/>
    </row>
    <row r="3">
      <c r="A3" s="12" t="s">
        <v>42</v>
      </c>
      <c r="B3" s="26"/>
      <c r="C3" s="12"/>
      <c r="D3" s="27">
        <f t="shared" si="1"/>
        <v>0</v>
      </c>
      <c r="F3" s="15" t="s">
        <v>43</v>
      </c>
      <c r="G3" s="27">
        <f>D8</f>
        <v>30</v>
      </c>
    </row>
    <row r="4">
      <c r="A4" s="12" t="s">
        <v>44</v>
      </c>
      <c r="B4" s="26"/>
      <c r="C4" s="12"/>
      <c r="D4" s="27">
        <f t="shared" si="1"/>
        <v>0</v>
      </c>
      <c r="F4" s="15" t="s">
        <v>45</v>
      </c>
      <c r="G4" s="27" t="str">
        <f>B20</f>
        <v/>
      </c>
    </row>
    <row r="5">
      <c r="A5" s="12" t="s">
        <v>46</v>
      </c>
      <c r="B5" s="26"/>
      <c r="C5" s="12"/>
      <c r="D5" s="27">
        <f t="shared" si="1"/>
        <v>0</v>
      </c>
      <c r="F5" s="25" t="s">
        <v>47</v>
      </c>
      <c r="G5" s="27">
        <f>SUM(G3:G4)</f>
        <v>30</v>
      </c>
    </row>
    <row r="6">
      <c r="A6" s="12" t="s">
        <v>48</v>
      </c>
      <c r="B6" s="26"/>
      <c r="C6" s="12"/>
      <c r="D6" s="27">
        <f t="shared" si="1"/>
        <v>0</v>
      </c>
      <c r="F6" s="25" t="s">
        <v>49</v>
      </c>
      <c r="G6" s="12"/>
    </row>
    <row r="7">
      <c r="A7" s="12" t="s">
        <v>50</v>
      </c>
      <c r="B7" s="26"/>
      <c r="C7" s="12"/>
      <c r="D7" s="27">
        <f t="shared" si="1"/>
        <v>0</v>
      </c>
      <c r="F7" s="15" t="s">
        <v>51</v>
      </c>
      <c r="G7" s="27">
        <f>D17</f>
        <v>30</v>
      </c>
    </row>
    <row r="8" ht="15.0" customHeight="1">
      <c r="A8" s="30" t="s">
        <v>52</v>
      </c>
      <c r="B8" s="2"/>
      <c r="C8" s="3"/>
      <c r="D8" s="27">
        <f>SUM(D2:D7)</f>
        <v>30</v>
      </c>
      <c r="F8" s="25" t="s">
        <v>53</v>
      </c>
      <c r="G8" s="27">
        <f>G7</f>
        <v>30</v>
      </c>
    </row>
    <row r="9">
      <c r="A9" s="31"/>
      <c r="B9" s="31"/>
      <c r="C9" s="31"/>
      <c r="D9" s="31"/>
      <c r="F9" s="25" t="s">
        <v>54</v>
      </c>
      <c r="G9" s="27">
        <f>G5-G8</f>
        <v>0</v>
      </c>
    </row>
    <row r="10">
      <c r="A10" s="6" t="s">
        <v>55</v>
      </c>
      <c r="B10" s="6" t="s">
        <v>37</v>
      </c>
      <c r="C10" s="6" t="s">
        <v>38</v>
      </c>
      <c r="D10" s="6" t="s">
        <v>39</v>
      </c>
      <c r="F10" s="32"/>
      <c r="G10" s="33"/>
    </row>
    <row r="11">
      <c r="A11" s="12" t="s">
        <v>40</v>
      </c>
      <c r="B11" s="26">
        <v>1.0</v>
      </c>
      <c r="C11" s="12">
        <v>30.0</v>
      </c>
      <c r="D11" s="27">
        <f t="shared" ref="D11:D16" si="2">C11*B11</f>
        <v>30</v>
      </c>
      <c r="F11" s="34" t="s">
        <v>56</v>
      </c>
      <c r="G11" s="35"/>
    </row>
    <row r="12">
      <c r="A12" s="12" t="s">
        <v>42</v>
      </c>
      <c r="B12" s="26"/>
      <c r="C12" s="12"/>
      <c r="D12" s="27">
        <f t="shared" si="2"/>
        <v>0</v>
      </c>
      <c r="F12" s="15" t="s">
        <v>57</v>
      </c>
      <c r="G12" s="36">
        <f>'5.11 - custos fixos operacionai'!B19</f>
        <v>313887.36</v>
      </c>
    </row>
    <row r="13">
      <c r="A13" s="12" t="s">
        <v>44</v>
      </c>
      <c r="B13" s="26"/>
      <c r="C13" s="12"/>
      <c r="D13" s="27">
        <f t="shared" si="2"/>
        <v>0</v>
      </c>
      <c r="F13" s="15" t="s">
        <v>58</v>
      </c>
      <c r="G13" s="36">
        <f>-'5.12 - Demonstrativo de Resulta'!C4</f>
        <v>84596.4072</v>
      </c>
    </row>
    <row r="14">
      <c r="A14" s="12" t="s">
        <v>46</v>
      </c>
      <c r="B14" s="26"/>
      <c r="C14" s="12"/>
      <c r="D14" s="27">
        <f t="shared" si="2"/>
        <v>0</v>
      </c>
      <c r="F14" s="15" t="s">
        <v>59</v>
      </c>
      <c r="G14" s="36">
        <f>SUM(G12:G13)</f>
        <v>398483.7672</v>
      </c>
    </row>
    <row r="15">
      <c r="A15" s="12" t="s">
        <v>48</v>
      </c>
      <c r="B15" s="26"/>
      <c r="C15" s="12"/>
      <c r="D15" s="27">
        <f t="shared" si="2"/>
        <v>0</v>
      </c>
      <c r="F15" s="15" t="s">
        <v>60</v>
      </c>
      <c r="G15" s="36">
        <f>G14/30</f>
        <v>13282.79224</v>
      </c>
    </row>
    <row r="16">
      <c r="A16" s="12" t="s">
        <v>50</v>
      </c>
      <c r="B16" s="26"/>
      <c r="C16" s="12"/>
      <c r="D16" s="27">
        <f t="shared" si="2"/>
        <v>0</v>
      </c>
      <c r="F16" s="15" t="s">
        <v>61</v>
      </c>
      <c r="G16" s="27">
        <f>G9</f>
        <v>0</v>
      </c>
    </row>
    <row r="17" ht="15.0" customHeight="1">
      <c r="A17" s="30" t="s">
        <v>52</v>
      </c>
      <c r="B17" s="2"/>
      <c r="C17" s="3"/>
      <c r="D17" s="27">
        <f>SUM(D11:D16)</f>
        <v>30</v>
      </c>
      <c r="F17" s="25" t="s">
        <v>62</v>
      </c>
      <c r="G17" s="36">
        <f>G15*G16</f>
        <v>0</v>
      </c>
    </row>
    <row r="19">
      <c r="A19" s="4"/>
      <c r="B19" s="8" t="s">
        <v>38</v>
      </c>
      <c r="C19" s="37"/>
      <c r="D19" s="37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 t="s">
        <v>63</v>
      </c>
      <c r="B20" s="12"/>
      <c r="C20" s="37"/>
      <c r="D20" s="3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2:G2"/>
    <mergeCell ref="A8:C8"/>
    <mergeCell ref="A17:C17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3.71"/>
    <col customWidth="1" min="3" max="4" width="8.71"/>
    <col customWidth="1" min="5" max="5" width="9.14"/>
    <col customWidth="1" min="6" max="26" width="8.71"/>
  </cols>
  <sheetData>
    <row r="1">
      <c r="A1" s="25" t="s">
        <v>64</v>
      </c>
      <c r="B1" s="12" t="s">
        <v>65</v>
      </c>
    </row>
    <row r="2">
      <c r="A2" s="15" t="s">
        <v>66</v>
      </c>
      <c r="B2" s="38">
        <f>'5.2.0 - Estoque inicial'!E13</f>
        <v>1505</v>
      </c>
    </row>
    <row r="3">
      <c r="A3" s="15" t="s">
        <v>67</v>
      </c>
      <c r="B3" s="39">
        <f>'5.2.1 - Caixa mínimo'!G17</f>
        <v>0</v>
      </c>
    </row>
    <row r="4">
      <c r="A4" s="15" t="s">
        <v>68</v>
      </c>
      <c r="B4" s="39">
        <f>SUM(B2:B3)</f>
        <v>1505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15.0"/>
    <col customWidth="1" min="3" max="26" width="43.0"/>
  </cols>
  <sheetData>
    <row r="1">
      <c r="A1" s="25" t="s">
        <v>69</v>
      </c>
      <c r="B1" s="40" t="s">
        <v>65</v>
      </c>
    </row>
    <row r="2">
      <c r="A2" s="15" t="s">
        <v>70</v>
      </c>
      <c r="B2" s="41">
        <v>1600.0</v>
      </c>
    </row>
    <row r="3">
      <c r="A3" s="15" t="s">
        <v>71</v>
      </c>
      <c r="B3" s="41">
        <v>3000.0</v>
      </c>
    </row>
    <row r="4">
      <c r="A4" s="15" t="s">
        <v>72</v>
      </c>
      <c r="B4" s="41">
        <v>1500.0</v>
      </c>
    </row>
    <row r="5">
      <c r="A5" s="15" t="s">
        <v>73</v>
      </c>
      <c r="B5" s="41">
        <v>9000.0</v>
      </c>
    </row>
    <row r="6">
      <c r="A6" s="15" t="s">
        <v>74</v>
      </c>
      <c r="B6" s="41"/>
    </row>
    <row r="7">
      <c r="A7" s="25" t="s">
        <v>4</v>
      </c>
      <c r="B7" s="42">
        <f>SUM(B2:B6)</f>
        <v>15100</v>
      </c>
    </row>
    <row r="8">
      <c r="B8" s="43"/>
    </row>
    <row r="9">
      <c r="B9" s="43"/>
    </row>
    <row r="10">
      <c r="B10" s="43"/>
    </row>
    <row r="11">
      <c r="B11" s="43"/>
    </row>
    <row r="12">
      <c r="B12" s="43"/>
    </row>
    <row r="13">
      <c r="B13" s="43"/>
    </row>
    <row r="14">
      <c r="B14" s="43"/>
    </row>
    <row r="15">
      <c r="B15" s="43"/>
    </row>
    <row r="16">
      <c r="B16" s="43"/>
    </row>
    <row r="17">
      <c r="B17" s="43"/>
    </row>
    <row r="18">
      <c r="B18" s="43"/>
    </row>
    <row r="19">
      <c r="B19" s="43"/>
    </row>
    <row r="20">
      <c r="B20" s="43"/>
    </row>
    <row r="21" ht="15.75" customHeight="1">
      <c r="B21" s="43"/>
    </row>
    <row r="22" ht="15.75" customHeight="1">
      <c r="B22" s="43"/>
    </row>
    <row r="23" ht="15.75" customHeight="1">
      <c r="B23" s="43"/>
    </row>
    <row r="24" ht="15.75" customHeight="1">
      <c r="B24" s="43"/>
    </row>
    <row r="25" ht="15.75" customHeight="1">
      <c r="B25" s="43"/>
    </row>
    <row r="26" ht="15.75" customHeight="1">
      <c r="B26" s="43"/>
    </row>
    <row r="27" ht="15.75" customHeight="1">
      <c r="B27" s="43"/>
    </row>
    <row r="28" ht="15.75" customHeight="1">
      <c r="B28" s="43"/>
    </row>
    <row r="29" ht="15.75" customHeight="1">
      <c r="B29" s="43"/>
    </row>
    <row r="30" ht="15.75" customHeight="1">
      <c r="B30" s="43"/>
    </row>
    <row r="31" ht="15.75" customHeight="1">
      <c r="B31" s="43"/>
    </row>
    <row r="32" ht="15.75" customHeight="1">
      <c r="B32" s="43"/>
    </row>
    <row r="33" ht="15.75" customHeight="1">
      <c r="B33" s="43"/>
    </row>
    <row r="34" ht="15.75" customHeight="1">
      <c r="B34" s="43"/>
    </row>
    <row r="35" ht="15.75" customHeight="1">
      <c r="B35" s="43"/>
    </row>
    <row r="36" ht="15.75" customHeight="1">
      <c r="B36" s="43"/>
    </row>
    <row r="37" ht="15.75" customHeight="1">
      <c r="B37" s="43"/>
    </row>
    <row r="38" ht="15.75" customHeight="1">
      <c r="B38" s="43"/>
    </row>
    <row r="39" ht="15.75" customHeight="1">
      <c r="B39" s="43"/>
    </row>
    <row r="40" ht="15.75" customHeight="1">
      <c r="B40" s="43"/>
    </row>
    <row r="41" ht="15.75" customHeight="1">
      <c r="B41" s="43"/>
    </row>
    <row r="42" ht="15.75" customHeight="1">
      <c r="B42" s="43"/>
    </row>
    <row r="43" ht="15.75" customHeight="1">
      <c r="B43" s="43"/>
    </row>
    <row r="44" ht="15.75" customHeight="1">
      <c r="B44" s="43"/>
    </row>
    <row r="45" ht="15.75" customHeight="1">
      <c r="B45" s="43"/>
    </row>
    <row r="46" ht="15.75" customHeight="1">
      <c r="B46" s="43"/>
    </row>
    <row r="47" ht="15.75" customHeight="1">
      <c r="B47" s="43"/>
    </row>
    <row r="48" ht="15.75" customHeight="1">
      <c r="B48" s="43"/>
    </row>
    <row r="49" ht="15.75" customHeight="1">
      <c r="B49" s="43"/>
    </row>
    <row r="50" ht="15.75" customHeight="1">
      <c r="B50" s="43"/>
    </row>
    <row r="51" ht="15.75" customHeight="1">
      <c r="B51" s="43"/>
    </row>
    <row r="52" ht="15.75" customHeight="1">
      <c r="B52" s="43"/>
    </row>
    <row r="53" ht="15.75" customHeight="1">
      <c r="B53" s="43"/>
    </row>
    <row r="54" ht="15.75" customHeight="1">
      <c r="B54" s="43"/>
    </row>
    <row r="55" ht="15.75" customHeight="1">
      <c r="B55" s="43"/>
    </row>
    <row r="56" ht="15.75" customHeight="1">
      <c r="B56" s="43"/>
    </row>
    <row r="57" ht="15.75" customHeight="1">
      <c r="B57" s="43"/>
    </row>
    <row r="58" ht="15.75" customHeight="1">
      <c r="B58" s="43"/>
    </row>
    <row r="59" ht="15.75" customHeight="1">
      <c r="B59" s="43"/>
    </row>
    <row r="60" ht="15.75" customHeight="1">
      <c r="B60" s="43"/>
    </row>
    <row r="61" ht="15.75" customHeight="1">
      <c r="B61" s="43"/>
    </row>
    <row r="62" ht="15.75" customHeight="1">
      <c r="B62" s="43"/>
    </row>
    <row r="63" ht="15.75" customHeight="1">
      <c r="B63" s="43"/>
    </row>
    <row r="64" ht="15.75" customHeight="1">
      <c r="B64" s="43"/>
    </row>
    <row r="65" ht="15.75" customHeight="1">
      <c r="B65" s="43"/>
    </row>
    <row r="66" ht="15.75" customHeight="1">
      <c r="B66" s="43"/>
    </row>
    <row r="67" ht="15.75" customHeight="1">
      <c r="B67" s="43"/>
    </row>
    <row r="68" ht="15.75" customHeight="1">
      <c r="B68" s="43"/>
    </row>
    <row r="69" ht="15.75" customHeight="1">
      <c r="B69" s="43"/>
    </row>
    <row r="70" ht="15.75" customHeight="1">
      <c r="B70" s="43"/>
    </row>
    <row r="71" ht="15.75" customHeight="1">
      <c r="B71" s="43"/>
    </row>
    <row r="72" ht="15.75" customHeight="1">
      <c r="B72" s="43"/>
    </row>
    <row r="73" ht="15.75" customHeight="1">
      <c r="B73" s="43"/>
    </row>
    <row r="74" ht="15.75" customHeight="1">
      <c r="B74" s="43"/>
    </row>
    <row r="75" ht="15.75" customHeight="1">
      <c r="B75" s="43"/>
    </row>
    <row r="76" ht="15.75" customHeight="1">
      <c r="B76" s="43"/>
    </row>
    <row r="77" ht="15.75" customHeight="1">
      <c r="B77" s="43"/>
    </row>
    <row r="78" ht="15.75" customHeight="1">
      <c r="B78" s="43"/>
    </row>
    <row r="79" ht="15.75" customHeight="1">
      <c r="B79" s="43"/>
    </row>
    <row r="80" ht="15.75" customHeight="1">
      <c r="B80" s="43"/>
    </row>
    <row r="81" ht="15.75" customHeight="1">
      <c r="B81" s="43"/>
    </row>
    <row r="82" ht="15.75" customHeight="1">
      <c r="B82" s="43"/>
    </row>
    <row r="83" ht="15.75" customHeight="1">
      <c r="B83" s="43"/>
    </row>
    <row r="84" ht="15.75" customHeight="1">
      <c r="B84" s="43"/>
    </row>
    <row r="85" ht="15.75" customHeight="1">
      <c r="B85" s="43"/>
    </row>
    <row r="86" ht="15.75" customHeight="1">
      <c r="B86" s="43"/>
    </row>
    <row r="87" ht="15.75" customHeight="1">
      <c r="B87" s="43"/>
    </row>
    <row r="88" ht="15.75" customHeight="1">
      <c r="B88" s="43"/>
    </row>
    <row r="89" ht="15.75" customHeight="1">
      <c r="B89" s="43"/>
    </row>
    <row r="90" ht="15.75" customHeight="1">
      <c r="B90" s="43"/>
    </row>
    <row r="91" ht="15.75" customHeight="1">
      <c r="B91" s="43"/>
    </row>
    <row r="92" ht="15.75" customHeight="1">
      <c r="B92" s="43"/>
    </row>
    <row r="93" ht="15.75" customHeight="1">
      <c r="B93" s="43"/>
    </row>
    <row r="94" ht="15.75" customHeight="1">
      <c r="B94" s="43"/>
    </row>
    <row r="95" ht="15.75" customHeight="1">
      <c r="B95" s="43"/>
    </row>
    <row r="96" ht="15.75" customHeight="1">
      <c r="B96" s="43"/>
    </row>
    <row r="97" ht="15.75" customHeight="1">
      <c r="B97" s="43"/>
    </row>
    <row r="98" ht="15.75" customHeight="1">
      <c r="B98" s="43"/>
    </row>
    <row r="99" ht="15.75" customHeight="1">
      <c r="B99" s="43"/>
    </row>
    <row r="100" ht="15.75" customHeight="1">
      <c r="B100" s="43"/>
    </row>
    <row r="101" ht="15.75" customHeight="1">
      <c r="B101" s="43"/>
    </row>
    <row r="102" ht="15.75" customHeight="1">
      <c r="B102" s="43"/>
    </row>
    <row r="103" ht="15.75" customHeight="1">
      <c r="B103" s="43"/>
    </row>
    <row r="104" ht="15.75" customHeight="1">
      <c r="B104" s="43"/>
    </row>
    <row r="105" ht="15.75" customHeight="1">
      <c r="B105" s="43"/>
    </row>
    <row r="106" ht="15.75" customHeight="1">
      <c r="B106" s="43"/>
    </row>
    <row r="107" ht="15.75" customHeight="1">
      <c r="B107" s="43"/>
    </row>
    <row r="108" ht="15.75" customHeight="1">
      <c r="B108" s="43"/>
    </row>
    <row r="109" ht="15.75" customHeight="1">
      <c r="B109" s="43"/>
    </row>
    <row r="110" ht="15.75" customHeight="1">
      <c r="B110" s="43"/>
    </row>
    <row r="111" ht="15.75" customHeight="1">
      <c r="B111" s="43"/>
    </row>
    <row r="112" ht="15.75" customHeight="1">
      <c r="B112" s="43"/>
    </row>
    <row r="113" ht="15.75" customHeight="1">
      <c r="B113" s="43"/>
    </row>
    <row r="114" ht="15.75" customHeight="1">
      <c r="B114" s="43"/>
    </row>
    <row r="115" ht="15.75" customHeight="1">
      <c r="B115" s="43"/>
    </row>
    <row r="116" ht="15.75" customHeight="1">
      <c r="B116" s="43"/>
    </row>
    <row r="117" ht="15.75" customHeight="1">
      <c r="B117" s="43"/>
    </row>
    <row r="118" ht="15.75" customHeight="1">
      <c r="B118" s="43"/>
    </row>
    <row r="119" ht="15.75" customHeight="1">
      <c r="B119" s="43"/>
    </row>
    <row r="120" ht="15.75" customHeight="1">
      <c r="B120" s="43"/>
    </row>
    <row r="121" ht="15.75" customHeight="1">
      <c r="B121" s="43"/>
    </row>
    <row r="122" ht="15.75" customHeight="1">
      <c r="B122" s="43"/>
    </row>
    <row r="123" ht="15.75" customHeight="1">
      <c r="B123" s="43"/>
    </row>
    <row r="124" ht="15.75" customHeight="1">
      <c r="B124" s="43"/>
    </row>
    <row r="125" ht="15.75" customHeight="1">
      <c r="B125" s="43"/>
    </row>
    <row r="126" ht="15.75" customHeight="1">
      <c r="B126" s="43"/>
    </row>
    <row r="127" ht="15.75" customHeight="1">
      <c r="B127" s="43"/>
    </row>
    <row r="128" ht="15.75" customHeight="1">
      <c r="B128" s="43"/>
    </row>
    <row r="129" ht="15.75" customHeight="1">
      <c r="B129" s="43"/>
    </row>
    <row r="130" ht="15.75" customHeight="1">
      <c r="B130" s="43"/>
    </row>
    <row r="131" ht="15.75" customHeight="1">
      <c r="B131" s="43"/>
    </row>
    <row r="132" ht="15.75" customHeight="1">
      <c r="B132" s="43"/>
    </row>
    <row r="133" ht="15.75" customHeight="1">
      <c r="B133" s="43"/>
    </row>
    <row r="134" ht="15.75" customHeight="1">
      <c r="B134" s="43"/>
    </row>
    <row r="135" ht="15.75" customHeight="1">
      <c r="B135" s="43"/>
    </row>
    <row r="136" ht="15.75" customHeight="1">
      <c r="B136" s="43"/>
    </row>
    <row r="137" ht="15.75" customHeight="1">
      <c r="B137" s="43"/>
    </row>
    <row r="138" ht="15.75" customHeight="1">
      <c r="B138" s="43"/>
    </row>
    <row r="139" ht="15.75" customHeight="1">
      <c r="B139" s="43"/>
    </row>
    <row r="140" ht="15.75" customHeight="1">
      <c r="B140" s="43"/>
    </row>
    <row r="141" ht="15.75" customHeight="1">
      <c r="B141" s="43"/>
    </row>
    <row r="142" ht="15.75" customHeight="1">
      <c r="B142" s="43"/>
    </row>
    <row r="143" ht="15.75" customHeight="1">
      <c r="B143" s="43"/>
    </row>
    <row r="144" ht="15.75" customHeight="1">
      <c r="B144" s="43"/>
    </row>
    <row r="145" ht="15.75" customHeight="1">
      <c r="B145" s="43"/>
    </row>
    <row r="146" ht="15.75" customHeight="1">
      <c r="B146" s="43"/>
    </row>
    <row r="147" ht="15.75" customHeight="1">
      <c r="B147" s="43"/>
    </row>
    <row r="148" ht="15.75" customHeight="1">
      <c r="B148" s="43"/>
    </row>
    <row r="149" ht="15.75" customHeight="1">
      <c r="B149" s="43"/>
    </row>
    <row r="150" ht="15.75" customHeight="1">
      <c r="B150" s="43"/>
    </row>
    <row r="151" ht="15.75" customHeight="1">
      <c r="B151" s="43"/>
    </row>
    <row r="152" ht="15.75" customHeight="1">
      <c r="B152" s="43"/>
    </row>
    <row r="153" ht="15.75" customHeight="1">
      <c r="B153" s="43"/>
    </row>
    <row r="154" ht="15.75" customHeight="1">
      <c r="B154" s="43"/>
    </row>
    <row r="155" ht="15.75" customHeight="1">
      <c r="B155" s="43"/>
    </row>
    <row r="156" ht="15.75" customHeight="1">
      <c r="B156" s="43"/>
    </row>
    <row r="157" ht="15.75" customHeight="1">
      <c r="B157" s="43"/>
    </row>
    <row r="158" ht="15.75" customHeight="1">
      <c r="B158" s="43"/>
    </row>
    <row r="159" ht="15.75" customHeight="1">
      <c r="B159" s="43"/>
    </row>
    <row r="160" ht="15.75" customHeight="1">
      <c r="B160" s="43"/>
    </row>
    <row r="161" ht="15.75" customHeight="1">
      <c r="B161" s="43"/>
    </row>
    <row r="162" ht="15.75" customHeight="1">
      <c r="B162" s="43"/>
    </row>
    <row r="163" ht="15.75" customHeight="1">
      <c r="B163" s="43"/>
    </row>
    <row r="164" ht="15.75" customHeight="1">
      <c r="B164" s="43"/>
    </row>
    <row r="165" ht="15.75" customHeight="1">
      <c r="B165" s="43"/>
    </row>
    <row r="166" ht="15.75" customHeight="1">
      <c r="B166" s="43"/>
    </row>
    <row r="167" ht="15.75" customHeight="1">
      <c r="B167" s="43"/>
    </row>
    <row r="168" ht="15.75" customHeight="1">
      <c r="B168" s="43"/>
    </row>
    <row r="169" ht="15.75" customHeight="1">
      <c r="B169" s="43"/>
    </row>
    <row r="170" ht="15.75" customHeight="1">
      <c r="B170" s="43"/>
    </row>
    <row r="171" ht="15.75" customHeight="1">
      <c r="B171" s="43"/>
    </row>
    <row r="172" ht="15.75" customHeight="1">
      <c r="B172" s="43"/>
    </row>
    <row r="173" ht="15.75" customHeight="1">
      <c r="B173" s="43"/>
    </row>
    <row r="174" ht="15.75" customHeight="1">
      <c r="B174" s="43"/>
    </row>
    <row r="175" ht="15.75" customHeight="1">
      <c r="B175" s="43"/>
    </row>
    <row r="176" ht="15.75" customHeight="1">
      <c r="B176" s="43"/>
    </row>
    <row r="177" ht="15.75" customHeight="1">
      <c r="B177" s="43"/>
    </row>
    <row r="178" ht="15.75" customHeight="1">
      <c r="B178" s="43"/>
    </row>
    <row r="179" ht="15.75" customHeight="1">
      <c r="B179" s="43"/>
    </row>
    <row r="180" ht="15.75" customHeight="1">
      <c r="B180" s="43"/>
    </row>
    <row r="181" ht="15.75" customHeight="1">
      <c r="B181" s="43"/>
    </row>
    <row r="182" ht="15.75" customHeight="1">
      <c r="B182" s="43"/>
    </row>
    <row r="183" ht="15.75" customHeight="1">
      <c r="B183" s="43"/>
    </row>
    <row r="184" ht="15.75" customHeight="1">
      <c r="B184" s="43"/>
    </row>
    <row r="185" ht="15.75" customHeight="1">
      <c r="B185" s="43"/>
    </row>
    <row r="186" ht="15.75" customHeight="1">
      <c r="B186" s="43"/>
    </row>
    <row r="187" ht="15.75" customHeight="1">
      <c r="B187" s="43"/>
    </row>
    <row r="188" ht="15.75" customHeight="1">
      <c r="B188" s="43"/>
    </row>
    <row r="189" ht="15.75" customHeight="1">
      <c r="B189" s="43"/>
    </row>
    <row r="190" ht="15.75" customHeight="1">
      <c r="B190" s="43"/>
    </row>
    <row r="191" ht="15.75" customHeight="1">
      <c r="B191" s="43"/>
    </row>
    <row r="192" ht="15.75" customHeight="1">
      <c r="B192" s="43"/>
    </row>
    <row r="193" ht="15.75" customHeight="1">
      <c r="B193" s="43"/>
    </row>
    <row r="194" ht="15.75" customHeight="1">
      <c r="B194" s="43"/>
    </row>
    <row r="195" ht="15.75" customHeight="1">
      <c r="B195" s="43"/>
    </row>
    <row r="196" ht="15.75" customHeight="1">
      <c r="B196" s="43"/>
    </row>
    <row r="197" ht="15.75" customHeight="1">
      <c r="B197" s="43"/>
    </row>
    <row r="198" ht="15.75" customHeight="1">
      <c r="B198" s="43"/>
    </row>
    <row r="199" ht="15.75" customHeight="1">
      <c r="B199" s="43"/>
    </row>
    <row r="200" ht="15.75" customHeight="1">
      <c r="B200" s="43"/>
    </row>
    <row r="201" ht="15.75" customHeight="1">
      <c r="B201" s="43"/>
    </row>
    <row r="202" ht="15.75" customHeight="1">
      <c r="B202" s="43"/>
    </row>
    <row r="203" ht="15.75" customHeight="1">
      <c r="B203" s="43"/>
    </row>
    <row r="204" ht="15.75" customHeight="1">
      <c r="B204" s="43"/>
    </row>
    <row r="205" ht="15.75" customHeight="1">
      <c r="B205" s="43"/>
    </row>
    <row r="206" ht="15.75" customHeight="1">
      <c r="B206" s="43"/>
    </row>
    <row r="207" ht="15.75" customHeight="1">
      <c r="B207" s="43"/>
    </row>
    <row r="208" ht="15.75" customHeight="1">
      <c r="B208" s="43"/>
    </row>
    <row r="209" ht="15.75" customHeight="1">
      <c r="B209" s="43"/>
    </row>
    <row r="210" ht="15.75" customHeight="1">
      <c r="B210" s="43"/>
    </row>
    <row r="211" ht="15.75" customHeight="1">
      <c r="B211" s="43"/>
    </row>
    <row r="212" ht="15.75" customHeight="1">
      <c r="B212" s="43"/>
    </row>
    <row r="213" ht="15.75" customHeight="1">
      <c r="B213" s="43"/>
    </row>
    <row r="214" ht="15.75" customHeight="1">
      <c r="B214" s="43"/>
    </row>
    <row r="215" ht="15.75" customHeight="1">
      <c r="B215" s="43"/>
    </row>
    <row r="216" ht="15.75" customHeight="1">
      <c r="B216" s="43"/>
    </row>
    <row r="217" ht="15.75" customHeight="1">
      <c r="B217" s="43"/>
    </row>
    <row r="218" ht="15.75" customHeight="1">
      <c r="B218" s="43"/>
    </row>
    <row r="219" ht="15.75" customHeight="1">
      <c r="B219" s="43"/>
    </row>
    <row r="220" ht="15.75" customHeight="1">
      <c r="B220" s="43"/>
    </row>
    <row r="221" ht="15.75" customHeight="1">
      <c r="B221" s="43"/>
    </row>
    <row r="222" ht="15.75" customHeight="1">
      <c r="B222" s="43"/>
    </row>
    <row r="223" ht="15.75" customHeight="1">
      <c r="B223" s="43"/>
    </row>
    <row r="224" ht="15.75" customHeight="1">
      <c r="B224" s="43"/>
    </row>
    <row r="225" ht="15.75" customHeight="1">
      <c r="B225" s="43"/>
    </row>
    <row r="226" ht="15.75" customHeight="1">
      <c r="B226" s="43"/>
    </row>
    <row r="227" ht="15.75" customHeight="1">
      <c r="B227" s="43"/>
    </row>
    <row r="228" ht="15.75" customHeight="1">
      <c r="B228" s="43"/>
    </row>
    <row r="229" ht="15.75" customHeight="1">
      <c r="B229" s="43"/>
    </row>
    <row r="230" ht="15.75" customHeight="1">
      <c r="B230" s="43"/>
    </row>
    <row r="231" ht="15.75" customHeight="1">
      <c r="B231" s="43"/>
    </row>
    <row r="232" ht="15.75" customHeight="1">
      <c r="B232" s="43"/>
    </row>
    <row r="233" ht="15.75" customHeight="1">
      <c r="B233" s="43"/>
    </row>
    <row r="234" ht="15.75" customHeight="1">
      <c r="B234" s="43"/>
    </row>
    <row r="235" ht="15.75" customHeight="1">
      <c r="B235" s="43"/>
    </row>
    <row r="236" ht="15.75" customHeight="1">
      <c r="B236" s="43"/>
    </row>
    <row r="237" ht="15.75" customHeight="1">
      <c r="B237" s="43"/>
    </row>
    <row r="238" ht="15.75" customHeight="1">
      <c r="B238" s="43"/>
    </row>
    <row r="239" ht="15.75" customHeight="1">
      <c r="B239" s="43"/>
    </row>
    <row r="240" ht="15.75" customHeight="1">
      <c r="B240" s="43"/>
    </row>
    <row r="241" ht="15.75" customHeight="1">
      <c r="B241" s="43"/>
    </row>
    <row r="242" ht="15.75" customHeight="1">
      <c r="B242" s="43"/>
    </row>
    <row r="243" ht="15.75" customHeight="1">
      <c r="B243" s="43"/>
    </row>
    <row r="244" ht="15.75" customHeight="1">
      <c r="B244" s="43"/>
    </row>
    <row r="245" ht="15.75" customHeight="1">
      <c r="B245" s="43"/>
    </row>
    <row r="246" ht="15.75" customHeight="1">
      <c r="B246" s="43"/>
    </row>
    <row r="247" ht="15.75" customHeight="1">
      <c r="B247" s="43"/>
    </row>
    <row r="248" ht="15.75" customHeight="1">
      <c r="B248" s="43"/>
    </row>
    <row r="249" ht="15.75" customHeight="1">
      <c r="B249" s="43"/>
    </row>
    <row r="250" ht="15.75" customHeight="1">
      <c r="B250" s="43"/>
    </row>
    <row r="251" ht="15.75" customHeight="1">
      <c r="B251" s="43"/>
    </row>
    <row r="252" ht="15.75" customHeight="1">
      <c r="B252" s="43"/>
    </row>
    <row r="253" ht="15.75" customHeight="1">
      <c r="B253" s="43"/>
    </row>
    <row r="254" ht="15.75" customHeight="1">
      <c r="B254" s="43"/>
    </row>
    <row r="255" ht="15.75" customHeight="1">
      <c r="B255" s="43"/>
    </row>
    <row r="256" ht="15.75" customHeight="1">
      <c r="B256" s="43"/>
    </row>
    <row r="257" ht="15.75" customHeight="1">
      <c r="B257" s="43"/>
    </row>
    <row r="258" ht="15.75" customHeight="1">
      <c r="B258" s="43"/>
    </row>
    <row r="259" ht="15.75" customHeight="1">
      <c r="B259" s="43"/>
    </row>
    <row r="260" ht="15.75" customHeight="1">
      <c r="B260" s="43"/>
    </row>
    <row r="261" ht="15.75" customHeight="1">
      <c r="B261" s="43"/>
    </row>
    <row r="262" ht="15.75" customHeight="1">
      <c r="B262" s="43"/>
    </row>
    <row r="263" ht="15.75" customHeight="1">
      <c r="B263" s="43"/>
    </row>
    <row r="264" ht="15.75" customHeight="1">
      <c r="B264" s="43"/>
    </row>
    <row r="265" ht="15.75" customHeight="1">
      <c r="B265" s="43"/>
    </row>
    <row r="266" ht="15.75" customHeight="1">
      <c r="B266" s="43"/>
    </row>
    <row r="267" ht="15.75" customHeight="1">
      <c r="B267" s="43"/>
    </row>
    <row r="268" ht="15.75" customHeight="1">
      <c r="B268" s="43"/>
    </row>
    <row r="269" ht="15.75" customHeight="1">
      <c r="B269" s="43"/>
    </row>
    <row r="270" ht="15.75" customHeight="1">
      <c r="B270" s="43"/>
    </row>
    <row r="271" ht="15.75" customHeight="1">
      <c r="B271" s="43"/>
    </row>
    <row r="272" ht="15.75" customHeight="1">
      <c r="B272" s="43"/>
    </row>
    <row r="273" ht="15.75" customHeight="1">
      <c r="B273" s="43"/>
    </row>
    <row r="274" ht="15.75" customHeight="1">
      <c r="B274" s="43"/>
    </row>
    <row r="275" ht="15.75" customHeight="1">
      <c r="B275" s="43"/>
    </row>
    <row r="276" ht="15.75" customHeight="1">
      <c r="B276" s="43"/>
    </row>
    <row r="277" ht="15.75" customHeight="1">
      <c r="B277" s="43"/>
    </row>
    <row r="278" ht="15.75" customHeight="1">
      <c r="B278" s="43"/>
    </row>
    <row r="279" ht="15.75" customHeight="1">
      <c r="B279" s="43"/>
    </row>
    <row r="280" ht="15.75" customHeight="1">
      <c r="B280" s="43"/>
    </row>
    <row r="281" ht="15.75" customHeight="1">
      <c r="B281" s="43"/>
    </row>
    <row r="282" ht="15.75" customHeight="1">
      <c r="B282" s="43"/>
    </row>
    <row r="283" ht="15.75" customHeight="1">
      <c r="B283" s="43"/>
    </row>
    <row r="284" ht="15.75" customHeight="1">
      <c r="B284" s="43"/>
    </row>
    <row r="285" ht="15.75" customHeight="1">
      <c r="B285" s="43"/>
    </row>
    <row r="286" ht="15.75" customHeight="1">
      <c r="B286" s="43"/>
    </row>
    <row r="287" ht="15.75" customHeight="1">
      <c r="B287" s="43"/>
    </row>
    <row r="288" ht="15.75" customHeight="1">
      <c r="B288" s="43"/>
    </row>
    <row r="289" ht="15.75" customHeight="1">
      <c r="B289" s="43"/>
    </row>
    <row r="290" ht="15.75" customHeight="1">
      <c r="B290" s="43"/>
    </row>
    <row r="291" ht="15.75" customHeight="1">
      <c r="B291" s="43"/>
    </row>
    <row r="292" ht="15.75" customHeight="1">
      <c r="B292" s="43"/>
    </row>
    <row r="293" ht="15.75" customHeight="1">
      <c r="B293" s="43"/>
    </row>
    <row r="294" ht="15.75" customHeight="1">
      <c r="B294" s="43"/>
    </row>
    <row r="295" ht="15.75" customHeight="1">
      <c r="B295" s="43"/>
    </row>
    <row r="296" ht="15.75" customHeight="1">
      <c r="B296" s="43"/>
    </row>
    <row r="297" ht="15.75" customHeight="1">
      <c r="B297" s="43"/>
    </row>
    <row r="298" ht="15.75" customHeight="1">
      <c r="B298" s="43"/>
    </row>
    <row r="299" ht="15.75" customHeight="1">
      <c r="B299" s="43"/>
    </row>
    <row r="300" ht="15.75" customHeight="1">
      <c r="B300" s="43"/>
    </row>
    <row r="301" ht="15.75" customHeight="1">
      <c r="B301" s="43"/>
    </row>
    <row r="302" ht="15.75" customHeight="1">
      <c r="B302" s="43"/>
    </row>
    <row r="303" ht="15.75" customHeight="1">
      <c r="B303" s="43"/>
    </row>
    <row r="304" ht="15.75" customHeight="1">
      <c r="B304" s="43"/>
    </row>
    <row r="305" ht="15.75" customHeight="1">
      <c r="B305" s="43"/>
    </row>
    <row r="306" ht="15.75" customHeight="1">
      <c r="B306" s="43"/>
    </row>
    <row r="307" ht="15.75" customHeight="1">
      <c r="B307" s="43"/>
    </row>
    <row r="308" ht="15.75" customHeight="1">
      <c r="B308" s="43"/>
    </row>
    <row r="309" ht="15.75" customHeight="1">
      <c r="B309" s="43"/>
    </row>
    <row r="310" ht="15.75" customHeight="1">
      <c r="B310" s="43"/>
    </row>
    <row r="311" ht="15.75" customHeight="1">
      <c r="B311" s="43"/>
    </row>
    <row r="312" ht="15.75" customHeight="1">
      <c r="B312" s="43"/>
    </row>
    <row r="313" ht="15.75" customHeight="1">
      <c r="B313" s="43"/>
    </row>
    <row r="314" ht="15.75" customHeight="1">
      <c r="B314" s="43"/>
    </row>
    <row r="315" ht="15.75" customHeight="1">
      <c r="B315" s="43"/>
    </row>
    <row r="316" ht="15.75" customHeight="1">
      <c r="B316" s="43"/>
    </row>
    <row r="317" ht="15.75" customHeight="1">
      <c r="B317" s="43"/>
    </row>
    <row r="318" ht="15.75" customHeight="1">
      <c r="B318" s="43"/>
    </row>
    <row r="319" ht="15.75" customHeight="1">
      <c r="B319" s="43"/>
    </row>
    <row r="320" ht="15.75" customHeight="1">
      <c r="B320" s="43"/>
    </row>
    <row r="321" ht="15.75" customHeight="1">
      <c r="B321" s="43"/>
    </row>
    <row r="322" ht="15.75" customHeight="1">
      <c r="B322" s="43"/>
    </row>
    <row r="323" ht="15.75" customHeight="1">
      <c r="B323" s="43"/>
    </row>
    <row r="324" ht="15.75" customHeight="1">
      <c r="B324" s="43"/>
    </row>
    <row r="325" ht="15.75" customHeight="1">
      <c r="B325" s="43"/>
    </row>
    <row r="326" ht="15.75" customHeight="1">
      <c r="B326" s="43"/>
    </row>
    <row r="327" ht="15.75" customHeight="1">
      <c r="B327" s="43"/>
    </row>
    <row r="328" ht="15.75" customHeight="1">
      <c r="B328" s="43"/>
    </row>
    <row r="329" ht="15.75" customHeight="1">
      <c r="B329" s="43"/>
    </row>
    <row r="330" ht="15.75" customHeight="1">
      <c r="B330" s="43"/>
    </row>
    <row r="331" ht="15.75" customHeight="1">
      <c r="B331" s="43"/>
    </row>
    <row r="332" ht="15.75" customHeight="1">
      <c r="B332" s="43"/>
    </row>
    <row r="333" ht="15.75" customHeight="1">
      <c r="B333" s="43"/>
    </row>
    <row r="334" ht="15.75" customHeight="1">
      <c r="B334" s="43"/>
    </row>
    <row r="335" ht="15.75" customHeight="1">
      <c r="B335" s="43"/>
    </row>
    <row r="336" ht="15.75" customHeight="1">
      <c r="B336" s="43"/>
    </row>
    <row r="337" ht="15.75" customHeight="1">
      <c r="B337" s="43"/>
    </row>
    <row r="338" ht="15.75" customHeight="1">
      <c r="B338" s="43"/>
    </row>
    <row r="339" ht="15.75" customHeight="1">
      <c r="B339" s="43"/>
    </row>
    <row r="340" ht="15.75" customHeight="1">
      <c r="B340" s="43"/>
    </row>
    <row r="341" ht="15.75" customHeight="1">
      <c r="B341" s="43"/>
    </row>
    <row r="342" ht="15.75" customHeight="1">
      <c r="B342" s="43"/>
    </row>
    <row r="343" ht="15.75" customHeight="1">
      <c r="B343" s="43"/>
    </row>
    <row r="344" ht="15.75" customHeight="1">
      <c r="B344" s="43"/>
    </row>
    <row r="345" ht="15.75" customHeight="1">
      <c r="B345" s="43"/>
    </row>
    <row r="346" ht="15.75" customHeight="1">
      <c r="B346" s="43"/>
    </row>
    <row r="347" ht="15.75" customHeight="1">
      <c r="B347" s="43"/>
    </row>
    <row r="348" ht="15.75" customHeight="1">
      <c r="B348" s="43"/>
    </row>
    <row r="349" ht="15.75" customHeight="1">
      <c r="B349" s="43"/>
    </row>
    <row r="350" ht="15.75" customHeight="1">
      <c r="B350" s="43"/>
    </row>
    <row r="351" ht="15.75" customHeight="1">
      <c r="B351" s="43"/>
    </row>
    <row r="352" ht="15.75" customHeight="1">
      <c r="B352" s="43"/>
    </row>
    <row r="353" ht="15.75" customHeight="1">
      <c r="B353" s="43"/>
    </row>
    <row r="354" ht="15.75" customHeight="1">
      <c r="B354" s="43"/>
    </row>
    <row r="355" ht="15.75" customHeight="1">
      <c r="B355" s="43"/>
    </row>
    <row r="356" ht="15.75" customHeight="1">
      <c r="B356" s="43"/>
    </row>
    <row r="357" ht="15.75" customHeight="1">
      <c r="B357" s="43"/>
    </row>
    <row r="358" ht="15.75" customHeight="1">
      <c r="B358" s="43"/>
    </row>
    <row r="359" ht="15.75" customHeight="1">
      <c r="B359" s="43"/>
    </row>
    <row r="360" ht="15.75" customHeight="1">
      <c r="B360" s="43"/>
    </row>
    <row r="361" ht="15.75" customHeight="1">
      <c r="B361" s="43"/>
    </row>
    <row r="362" ht="15.75" customHeight="1">
      <c r="B362" s="43"/>
    </row>
    <row r="363" ht="15.75" customHeight="1">
      <c r="B363" s="43"/>
    </row>
    <row r="364" ht="15.75" customHeight="1">
      <c r="B364" s="43"/>
    </row>
    <row r="365" ht="15.75" customHeight="1">
      <c r="B365" s="43"/>
    </row>
    <row r="366" ht="15.75" customHeight="1">
      <c r="B366" s="43"/>
    </row>
    <row r="367" ht="15.75" customHeight="1">
      <c r="B367" s="43"/>
    </row>
    <row r="368" ht="15.75" customHeight="1">
      <c r="B368" s="43"/>
    </row>
    <row r="369" ht="15.75" customHeight="1">
      <c r="B369" s="43"/>
    </row>
    <row r="370" ht="15.75" customHeight="1">
      <c r="B370" s="43"/>
    </row>
    <row r="371" ht="15.75" customHeight="1">
      <c r="B371" s="43"/>
    </row>
    <row r="372" ht="15.75" customHeight="1">
      <c r="B372" s="43"/>
    </row>
    <row r="373" ht="15.75" customHeight="1">
      <c r="B373" s="43"/>
    </row>
    <row r="374" ht="15.75" customHeight="1">
      <c r="B374" s="43"/>
    </row>
    <row r="375" ht="15.75" customHeight="1">
      <c r="B375" s="43"/>
    </row>
    <row r="376" ht="15.75" customHeight="1">
      <c r="B376" s="43"/>
    </row>
    <row r="377" ht="15.75" customHeight="1">
      <c r="B377" s="43"/>
    </row>
    <row r="378" ht="15.75" customHeight="1">
      <c r="B378" s="43"/>
    </row>
    <row r="379" ht="15.75" customHeight="1">
      <c r="B379" s="43"/>
    </row>
    <row r="380" ht="15.75" customHeight="1">
      <c r="B380" s="43"/>
    </row>
    <row r="381" ht="15.75" customHeight="1">
      <c r="B381" s="43"/>
    </row>
    <row r="382" ht="15.75" customHeight="1">
      <c r="B382" s="43"/>
    </row>
    <row r="383" ht="15.75" customHeight="1">
      <c r="B383" s="43"/>
    </row>
    <row r="384" ht="15.75" customHeight="1">
      <c r="B384" s="43"/>
    </row>
    <row r="385" ht="15.75" customHeight="1">
      <c r="B385" s="43"/>
    </row>
    <row r="386" ht="15.75" customHeight="1">
      <c r="B386" s="43"/>
    </row>
    <row r="387" ht="15.75" customHeight="1">
      <c r="B387" s="43"/>
    </row>
    <row r="388" ht="15.75" customHeight="1">
      <c r="B388" s="43"/>
    </row>
    <row r="389" ht="15.75" customHeight="1">
      <c r="B389" s="43"/>
    </row>
    <row r="390" ht="15.75" customHeight="1">
      <c r="B390" s="43"/>
    </row>
    <row r="391" ht="15.75" customHeight="1">
      <c r="B391" s="43"/>
    </row>
    <row r="392" ht="15.75" customHeight="1">
      <c r="B392" s="43"/>
    </row>
    <row r="393" ht="15.75" customHeight="1">
      <c r="B393" s="43"/>
    </row>
    <row r="394" ht="15.75" customHeight="1">
      <c r="B394" s="43"/>
    </row>
    <row r="395" ht="15.75" customHeight="1">
      <c r="B395" s="43"/>
    </row>
    <row r="396" ht="15.75" customHeight="1">
      <c r="B396" s="43"/>
    </row>
    <row r="397" ht="15.75" customHeight="1">
      <c r="B397" s="43"/>
    </row>
    <row r="398" ht="15.75" customHeight="1">
      <c r="B398" s="43"/>
    </row>
    <row r="399" ht="15.75" customHeight="1">
      <c r="B399" s="43"/>
    </row>
    <row r="400" ht="15.75" customHeight="1">
      <c r="B400" s="43"/>
    </row>
    <row r="401" ht="15.75" customHeight="1">
      <c r="B401" s="43"/>
    </row>
    <row r="402" ht="15.75" customHeight="1">
      <c r="B402" s="43"/>
    </row>
    <row r="403" ht="15.75" customHeight="1">
      <c r="B403" s="43"/>
    </row>
    <row r="404" ht="15.75" customHeight="1">
      <c r="B404" s="43"/>
    </row>
    <row r="405" ht="15.75" customHeight="1">
      <c r="B405" s="43"/>
    </row>
    <row r="406" ht="15.75" customHeight="1">
      <c r="B406" s="43"/>
    </row>
    <row r="407" ht="15.75" customHeight="1">
      <c r="B407" s="43"/>
    </row>
    <row r="408" ht="15.75" customHeight="1">
      <c r="B408" s="43"/>
    </row>
    <row r="409" ht="15.75" customHeight="1">
      <c r="B409" s="43"/>
    </row>
    <row r="410" ht="15.75" customHeight="1">
      <c r="B410" s="43"/>
    </row>
    <row r="411" ht="15.75" customHeight="1">
      <c r="B411" s="43"/>
    </row>
    <row r="412" ht="15.75" customHeight="1">
      <c r="B412" s="43"/>
    </row>
    <row r="413" ht="15.75" customHeight="1">
      <c r="B413" s="43"/>
    </row>
    <row r="414" ht="15.75" customHeight="1">
      <c r="B414" s="43"/>
    </row>
    <row r="415" ht="15.75" customHeight="1">
      <c r="B415" s="43"/>
    </row>
    <row r="416" ht="15.75" customHeight="1">
      <c r="B416" s="43"/>
    </row>
    <row r="417" ht="15.75" customHeight="1">
      <c r="B417" s="43"/>
    </row>
    <row r="418" ht="15.75" customHeight="1">
      <c r="B418" s="43"/>
    </row>
    <row r="419" ht="15.75" customHeight="1">
      <c r="B419" s="43"/>
    </row>
    <row r="420" ht="15.75" customHeight="1">
      <c r="B420" s="43"/>
    </row>
    <row r="421" ht="15.75" customHeight="1">
      <c r="B421" s="43"/>
    </row>
    <row r="422" ht="15.75" customHeight="1">
      <c r="B422" s="43"/>
    </row>
    <row r="423" ht="15.75" customHeight="1">
      <c r="B423" s="43"/>
    </row>
    <row r="424" ht="15.75" customHeight="1">
      <c r="B424" s="43"/>
    </row>
    <row r="425" ht="15.75" customHeight="1">
      <c r="B425" s="43"/>
    </row>
    <row r="426" ht="15.75" customHeight="1">
      <c r="B426" s="43"/>
    </row>
    <row r="427" ht="15.75" customHeight="1">
      <c r="B427" s="43"/>
    </row>
    <row r="428" ht="15.75" customHeight="1">
      <c r="B428" s="43"/>
    </row>
    <row r="429" ht="15.75" customHeight="1">
      <c r="B429" s="43"/>
    </row>
    <row r="430" ht="15.75" customHeight="1">
      <c r="B430" s="43"/>
    </row>
    <row r="431" ht="15.75" customHeight="1">
      <c r="B431" s="43"/>
    </row>
    <row r="432" ht="15.75" customHeight="1">
      <c r="B432" s="43"/>
    </row>
    <row r="433" ht="15.75" customHeight="1">
      <c r="B433" s="43"/>
    </row>
    <row r="434" ht="15.75" customHeight="1">
      <c r="B434" s="43"/>
    </row>
    <row r="435" ht="15.75" customHeight="1">
      <c r="B435" s="43"/>
    </row>
    <row r="436" ht="15.75" customHeight="1">
      <c r="B436" s="43"/>
    </row>
    <row r="437" ht="15.75" customHeight="1">
      <c r="B437" s="43"/>
    </row>
    <row r="438" ht="15.75" customHeight="1">
      <c r="B438" s="43"/>
    </row>
    <row r="439" ht="15.75" customHeight="1">
      <c r="B439" s="43"/>
    </row>
    <row r="440" ht="15.75" customHeight="1">
      <c r="B440" s="43"/>
    </row>
    <row r="441" ht="15.75" customHeight="1">
      <c r="B441" s="43"/>
    </row>
    <row r="442" ht="15.75" customHeight="1">
      <c r="B442" s="43"/>
    </row>
    <row r="443" ht="15.75" customHeight="1">
      <c r="B443" s="43"/>
    </row>
    <row r="444" ht="15.75" customHeight="1">
      <c r="B444" s="43"/>
    </row>
    <row r="445" ht="15.75" customHeight="1">
      <c r="B445" s="43"/>
    </row>
    <row r="446" ht="15.75" customHeight="1">
      <c r="B446" s="43"/>
    </row>
    <row r="447" ht="15.75" customHeight="1">
      <c r="B447" s="43"/>
    </row>
    <row r="448" ht="15.75" customHeight="1">
      <c r="B448" s="43"/>
    </row>
    <row r="449" ht="15.75" customHeight="1">
      <c r="B449" s="43"/>
    </row>
    <row r="450" ht="15.75" customHeight="1">
      <c r="B450" s="43"/>
    </row>
    <row r="451" ht="15.75" customHeight="1">
      <c r="B451" s="43"/>
    </row>
    <row r="452" ht="15.75" customHeight="1">
      <c r="B452" s="43"/>
    </row>
    <row r="453" ht="15.75" customHeight="1">
      <c r="B453" s="43"/>
    </row>
    <row r="454" ht="15.75" customHeight="1">
      <c r="B454" s="43"/>
    </row>
    <row r="455" ht="15.75" customHeight="1">
      <c r="B455" s="43"/>
    </row>
    <row r="456" ht="15.75" customHeight="1">
      <c r="B456" s="43"/>
    </row>
    <row r="457" ht="15.75" customHeight="1">
      <c r="B457" s="43"/>
    </row>
    <row r="458" ht="15.75" customHeight="1">
      <c r="B458" s="43"/>
    </row>
    <row r="459" ht="15.75" customHeight="1">
      <c r="B459" s="43"/>
    </row>
    <row r="460" ht="15.75" customHeight="1">
      <c r="B460" s="43"/>
    </row>
    <row r="461" ht="15.75" customHeight="1">
      <c r="B461" s="43"/>
    </row>
    <row r="462" ht="15.75" customHeight="1">
      <c r="B462" s="43"/>
    </row>
    <row r="463" ht="15.75" customHeight="1">
      <c r="B463" s="43"/>
    </row>
    <row r="464" ht="15.75" customHeight="1">
      <c r="B464" s="43"/>
    </row>
    <row r="465" ht="15.75" customHeight="1">
      <c r="B465" s="43"/>
    </row>
    <row r="466" ht="15.75" customHeight="1">
      <c r="B466" s="43"/>
    </row>
    <row r="467" ht="15.75" customHeight="1">
      <c r="B467" s="43"/>
    </row>
    <row r="468" ht="15.75" customHeight="1">
      <c r="B468" s="43"/>
    </row>
    <row r="469" ht="15.75" customHeight="1">
      <c r="B469" s="43"/>
    </row>
    <row r="470" ht="15.75" customHeight="1">
      <c r="B470" s="43"/>
    </row>
    <row r="471" ht="15.75" customHeight="1">
      <c r="B471" s="43"/>
    </row>
    <row r="472" ht="15.75" customHeight="1">
      <c r="B472" s="43"/>
    </row>
    <row r="473" ht="15.75" customHeight="1">
      <c r="B473" s="43"/>
    </row>
    <row r="474" ht="15.75" customHeight="1">
      <c r="B474" s="43"/>
    </row>
    <row r="475" ht="15.75" customHeight="1">
      <c r="B475" s="43"/>
    </row>
    <row r="476" ht="15.75" customHeight="1">
      <c r="B476" s="43"/>
    </row>
    <row r="477" ht="15.75" customHeight="1">
      <c r="B477" s="43"/>
    </row>
    <row r="478" ht="15.75" customHeight="1">
      <c r="B478" s="43"/>
    </row>
    <row r="479" ht="15.75" customHeight="1">
      <c r="B479" s="43"/>
    </row>
    <row r="480" ht="15.75" customHeight="1">
      <c r="B480" s="43"/>
    </row>
    <row r="481" ht="15.75" customHeight="1">
      <c r="B481" s="43"/>
    </row>
    <row r="482" ht="15.75" customHeight="1">
      <c r="B482" s="43"/>
    </row>
    <row r="483" ht="15.75" customHeight="1">
      <c r="B483" s="43"/>
    </row>
    <row r="484" ht="15.75" customHeight="1">
      <c r="B484" s="43"/>
    </row>
    <row r="485" ht="15.75" customHeight="1">
      <c r="B485" s="43"/>
    </row>
    <row r="486" ht="15.75" customHeight="1">
      <c r="B486" s="43"/>
    </row>
    <row r="487" ht="15.75" customHeight="1">
      <c r="B487" s="43"/>
    </row>
    <row r="488" ht="15.75" customHeight="1">
      <c r="B488" s="43"/>
    </row>
    <row r="489" ht="15.75" customHeight="1">
      <c r="B489" s="43"/>
    </row>
    <row r="490" ht="15.75" customHeight="1">
      <c r="B490" s="43"/>
    </row>
    <row r="491" ht="15.75" customHeight="1">
      <c r="B491" s="43"/>
    </row>
    <row r="492" ht="15.75" customHeight="1">
      <c r="B492" s="43"/>
    </row>
    <row r="493" ht="15.75" customHeight="1">
      <c r="B493" s="43"/>
    </row>
    <row r="494" ht="15.75" customHeight="1">
      <c r="B494" s="43"/>
    </row>
    <row r="495" ht="15.75" customHeight="1">
      <c r="B495" s="43"/>
    </row>
    <row r="496" ht="15.75" customHeight="1">
      <c r="B496" s="43"/>
    </row>
    <row r="497" ht="15.75" customHeight="1">
      <c r="B497" s="43"/>
    </row>
    <row r="498" ht="15.75" customHeight="1">
      <c r="B498" s="43"/>
    </row>
    <row r="499" ht="15.75" customHeight="1">
      <c r="B499" s="43"/>
    </row>
    <row r="500" ht="15.75" customHeight="1">
      <c r="B500" s="43"/>
    </row>
    <row r="501" ht="15.75" customHeight="1">
      <c r="B501" s="43"/>
    </row>
    <row r="502" ht="15.75" customHeight="1">
      <c r="B502" s="43"/>
    </row>
    <row r="503" ht="15.75" customHeight="1">
      <c r="B503" s="43"/>
    </row>
    <row r="504" ht="15.75" customHeight="1">
      <c r="B504" s="43"/>
    </row>
    <row r="505" ht="15.75" customHeight="1">
      <c r="B505" s="43"/>
    </row>
    <row r="506" ht="15.75" customHeight="1">
      <c r="B506" s="43"/>
    </row>
    <row r="507" ht="15.75" customHeight="1">
      <c r="B507" s="43"/>
    </row>
    <row r="508" ht="15.75" customHeight="1">
      <c r="B508" s="43"/>
    </row>
    <row r="509" ht="15.75" customHeight="1">
      <c r="B509" s="43"/>
    </row>
    <row r="510" ht="15.75" customHeight="1">
      <c r="B510" s="43"/>
    </row>
    <row r="511" ht="15.75" customHeight="1">
      <c r="B511" s="43"/>
    </row>
    <row r="512" ht="15.75" customHeight="1">
      <c r="B512" s="43"/>
    </row>
    <row r="513" ht="15.75" customHeight="1">
      <c r="B513" s="43"/>
    </row>
    <row r="514" ht="15.75" customHeight="1">
      <c r="B514" s="43"/>
    </row>
    <row r="515" ht="15.75" customHeight="1">
      <c r="B515" s="43"/>
    </row>
    <row r="516" ht="15.75" customHeight="1">
      <c r="B516" s="43"/>
    </row>
    <row r="517" ht="15.75" customHeight="1">
      <c r="B517" s="43"/>
    </row>
    <row r="518" ht="15.75" customHeight="1">
      <c r="B518" s="43"/>
    </row>
    <row r="519" ht="15.75" customHeight="1">
      <c r="B519" s="43"/>
    </row>
    <row r="520" ht="15.75" customHeight="1">
      <c r="B520" s="43"/>
    </row>
    <row r="521" ht="15.75" customHeight="1">
      <c r="B521" s="43"/>
    </row>
    <row r="522" ht="15.75" customHeight="1">
      <c r="B522" s="43"/>
    </row>
    <row r="523" ht="15.75" customHeight="1">
      <c r="B523" s="43"/>
    </row>
    <row r="524" ht="15.75" customHeight="1">
      <c r="B524" s="43"/>
    </row>
    <row r="525" ht="15.75" customHeight="1">
      <c r="B525" s="43"/>
    </row>
    <row r="526" ht="15.75" customHeight="1">
      <c r="B526" s="43"/>
    </row>
    <row r="527" ht="15.75" customHeight="1">
      <c r="B527" s="43"/>
    </row>
    <row r="528" ht="15.75" customHeight="1">
      <c r="B528" s="43"/>
    </row>
    <row r="529" ht="15.75" customHeight="1">
      <c r="B529" s="43"/>
    </row>
    <row r="530" ht="15.75" customHeight="1">
      <c r="B530" s="43"/>
    </row>
    <row r="531" ht="15.75" customHeight="1">
      <c r="B531" s="43"/>
    </row>
    <row r="532" ht="15.75" customHeight="1">
      <c r="B532" s="43"/>
    </row>
    <row r="533" ht="15.75" customHeight="1">
      <c r="B533" s="43"/>
    </row>
    <row r="534" ht="15.75" customHeight="1">
      <c r="B534" s="43"/>
    </row>
    <row r="535" ht="15.75" customHeight="1">
      <c r="B535" s="43"/>
    </row>
    <row r="536" ht="15.75" customHeight="1">
      <c r="B536" s="43"/>
    </row>
    <row r="537" ht="15.75" customHeight="1">
      <c r="B537" s="43"/>
    </row>
    <row r="538" ht="15.75" customHeight="1">
      <c r="B538" s="43"/>
    </row>
    <row r="539" ht="15.75" customHeight="1">
      <c r="B539" s="43"/>
    </row>
    <row r="540" ht="15.75" customHeight="1">
      <c r="B540" s="43"/>
    </row>
    <row r="541" ht="15.75" customHeight="1">
      <c r="B541" s="43"/>
    </row>
    <row r="542" ht="15.75" customHeight="1">
      <c r="B542" s="43"/>
    </row>
    <row r="543" ht="15.75" customHeight="1">
      <c r="B543" s="43"/>
    </row>
    <row r="544" ht="15.75" customHeight="1">
      <c r="B544" s="43"/>
    </row>
    <row r="545" ht="15.75" customHeight="1">
      <c r="B545" s="43"/>
    </row>
    <row r="546" ht="15.75" customHeight="1">
      <c r="B546" s="43"/>
    </row>
    <row r="547" ht="15.75" customHeight="1">
      <c r="B547" s="43"/>
    </row>
    <row r="548" ht="15.75" customHeight="1">
      <c r="B548" s="43"/>
    </row>
    <row r="549" ht="15.75" customHeight="1">
      <c r="B549" s="43"/>
    </row>
    <row r="550" ht="15.75" customHeight="1">
      <c r="B550" s="43"/>
    </row>
    <row r="551" ht="15.75" customHeight="1">
      <c r="B551" s="43"/>
    </row>
    <row r="552" ht="15.75" customHeight="1">
      <c r="B552" s="43"/>
    </row>
    <row r="553" ht="15.75" customHeight="1">
      <c r="B553" s="43"/>
    </row>
    <row r="554" ht="15.75" customHeight="1">
      <c r="B554" s="43"/>
    </row>
    <row r="555" ht="15.75" customHeight="1">
      <c r="B555" s="43"/>
    </row>
    <row r="556" ht="15.75" customHeight="1">
      <c r="B556" s="43"/>
    </row>
    <row r="557" ht="15.75" customHeight="1">
      <c r="B557" s="43"/>
    </row>
    <row r="558" ht="15.75" customHeight="1">
      <c r="B558" s="43"/>
    </row>
    <row r="559" ht="15.75" customHeight="1">
      <c r="B559" s="43"/>
    </row>
    <row r="560" ht="15.75" customHeight="1">
      <c r="B560" s="43"/>
    </row>
    <row r="561" ht="15.75" customHeight="1">
      <c r="B561" s="43"/>
    </row>
    <row r="562" ht="15.75" customHeight="1">
      <c r="B562" s="43"/>
    </row>
    <row r="563" ht="15.75" customHeight="1">
      <c r="B563" s="43"/>
    </row>
    <row r="564" ht="15.75" customHeight="1">
      <c r="B564" s="43"/>
    </row>
    <row r="565" ht="15.75" customHeight="1">
      <c r="B565" s="43"/>
    </row>
    <row r="566" ht="15.75" customHeight="1">
      <c r="B566" s="43"/>
    </row>
    <row r="567" ht="15.75" customHeight="1">
      <c r="B567" s="43"/>
    </row>
    <row r="568" ht="15.75" customHeight="1">
      <c r="B568" s="43"/>
    </row>
    <row r="569" ht="15.75" customHeight="1">
      <c r="B569" s="43"/>
    </row>
    <row r="570" ht="15.75" customHeight="1">
      <c r="B570" s="43"/>
    </row>
    <row r="571" ht="15.75" customHeight="1">
      <c r="B571" s="43"/>
    </row>
    <row r="572" ht="15.75" customHeight="1">
      <c r="B572" s="43"/>
    </row>
    <row r="573" ht="15.75" customHeight="1">
      <c r="B573" s="43"/>
    </row>
    <row r="574" ht="15.75" customHeight="1">
      <c r="B574" s="43"/>
    </row>
    <row r="575" ht="15.75" customHeight="1">
      <c r="B575" s="43"/>
    </row>
    <row r="576" ht="15.75" customHeight="1">
      <c r="B576" s="43"/>
    </row>
    <row r="577" ht="15.75" customHeight="1">
      <c r="B577" s="43"/>
    </row>
    <row r="578" ht="15.75" customHeight="1">
      <c r="B578" s="43"/>
    </row>
    <row r="579" ht="15.75" customHeight="1">
      <c r="B579" s="43"/>
    </row>
    <row r="580" ht="15.75" customHeight="1">
      <c r="B580" s="43"/>
    </row>
    <row r="581" ht="15.75" customHeight="1">
      <c r="B581" s="43"/>
    </row>
    <row r="582" ht="15.75" customHeight="1">
      <c r="B582" s="43"/>
    </row>
    <row r="583" ht="15.75" customHeight="1">
      <c r="B583" s="43"/>
    </row>
    <row r="584" ht="15.75" customHeight="1">
      <c r="B584" s="43"/>
    </row>
    <row r="585" ht="15.75" customHeight="1">
      <c r="B585" s="43"/>
    </row>
    <row r="586" ht="15.75" customHeight="1">
      <c r="B586" s="43"/>
    </row>
    <row r="587" ht="15.75" customHeight="1">
      <c r="B587" s="43"/>
    </row>
    <row r="588" ht="15.75" customHeight="1">
      <c r="B588" s="43"/>
    </row>
    <row r="589" ht="15.75" customHeight="1">
      <c r="B589" s="43"/>
    </row>
    <row r="590" ht="15.75" customHeight="1">
      <c r="B590" s="43"/>
    </row>
    <row r="591" ht="15.75" customHeight="1">
      <c r="B591" s="43"/>
    </row>
    <row r="592" ht="15.75" customHeight="1">
      <c r="B592" s="43"/>
    </row>
    <row r="593" ht="15.75" customHeight="1">
      <c r="B593" s="43"/>
    </row>
    <row r="594" ht="15.75" customHeight="1">
      <c r="B594" s="43"/>
    </row>
    <row r="595" ht="15.75" customHeight="1">
      <c r="B595" s="43"/>
    </row>
    <row r="596" ht="15.75" customHeight="1">
      <c r="B596" s="43"/>
    </row>
    <row r="597" ht="15.75" customHeight="1">
      <c r="B597" s="43"/>
    </row>
    <row r="598" ht="15.75" customHeight="1">
      <c r="B598" s="43"/>
    </row>
    <row r="599" ht="15.75" customHeight="1">
      <c r="B599" s="43"/>
    </row>
    <row r="600" ht="15.75" customHeight="1">
      <c r="B600" s="43"/>
    </row>
    <row r="601" ht="15.75" customHeight="1">
      <c r="B601" s="43"/>
    </row>
    <row r="602" ht="15.75" customHeight="1">
      <c r="B602" s="43"/>
    </row>
    <row r="603" ht="15.75" customHeight="1">
      <c r="B603" s="43"/>
    </row>
    <row r="604" ht="15.75" customHeight="1">
      <c r="B604" s="43"/>
    </row>
    <row r="605" ht="15.75" customHeight="1">
      <c r="B605" s="43"/>
    </row>
    <row r="606" ht="15.75" customHeight="1">
      <c r="B606" s="43"/>
    </row>
    <row r="607" ht="15.75" customHeight="1">
      <c r="B607" s="43"/>
    </row>
    <row r="608" ht="15.75" customHeight="1">
      <c r="B608" s="43"/>
    </row>
    <row r="609" ht="15.75" customHeight="1">
      <c r="B609" s="43"/>
    </row>
    <row r="610" ht="15.75" customHeight="1">
      <c r="B610" s="43"/>
    </row>
    <row r="611" ht="15.75" customHeight="1">
      <c r="B611" s="43"/>
    </row>
    <row r="612" ht="15.75" customHeight="1">
      <c r="B612" s="43"/>
    </row>
    <row r="613" ht="15.75" customHeight="1">
      <c r="B613" s="43"/>
    </row>
    <row r="614" ht="15.75" customHeight="1">
      <c r="B614" s="43"/>
    </row>
    <row r="615" ht="15.75" customHeight="1">
      <c r="B615" s="43"/>
    </row>
    <row r="616" ht="15.75" customHeight="1">
      <c r="B616" s="43"/>
    </row>
    <row r="617" ht="15.75" customHeight="1">
      <c r="B617" s="43"/>
    </row>
    <row r="618" ht="15.75" customHeight="1">
      <c r="B618" s="43"/>
    </row>
    <row r="619" ht="15.75" customHeight="1">
      <c r="B619" s="43"/>
    </row>
    <row r="620" ht="15.75" customHeight="1">
      <c r="B620" s="43"/>
    </row>
    <row r="621" ht="15.75" customHeight="1">
      <c r="B621" s="43"/>
    </row>
    <row r="622" ht="15.75" customHeight="1">
      <c r="B622" s="43"/>
    </row>
    <row r="623" ht="15.75" customHeight="1">
      <c r="B623" s="43"/>
    </row>
    <row r="624" ht="15.75" customHeight="1">
      <c r="B624" s="43"/>
    </row>
    <row r="625" ht="15.75" customHeight="1">
      <c r="B625" s="43"/>
    </row>
    <row r="626" ht="15.75" customHeight="1">
      <c r="B626" s="43"/>
    </row>
    <row r="627" ht="15.75" customHeight="1">
      <c r="B627" s="43"/>
    </row>
    <row r="628" ht="15.75" customHeight="1">
      <c r="B628" s="43"/>
    </row>
    <row r="629" ht="15.75" customHeight="1">
      <c r="B629" s="43"/>
    </row>
    <row r="630" ht="15.75" customHeight="1">
      <c r="B630" s="43"/>
    </row>
    <row r="631" ht="15.75" customHeight="1">
      <c r="B631" s="43"/>
    </row>
    <row r="632" ht="15.75" customHeight="1">
      <c r="B632" s="43"/>
    </row>
    <row r="633" ht="15.75" customHeight="1">
      <c r="B633" s="43"/>
    </row>
    <row r="634" ht="15.75" customHeight="1">
      <c r="B634" s="43"/>
    </row>
    <row r="635" ht="15.75" customHeight="1">
      <c r="B635" s="43"/>
    </row>
    <row r="636" ht="15.75" customHeight="1">
      <c r="B636" s="43"/>
    </row>
    <row r="637" ht="15.75" customHeight="1">
      <c r="B637" s="43"/>
    </row>
    <row r="638" ht="15.75" customHeight="1">
      <c r="B638" s="43"/>
    </row>
    <row r="639" ht="15.75" customHeight="1">
      <c r="B639" s="43"/>
    </row>
    <row r="640" ht="15.75" customHeight="1">
      <c r="B640" s="43"/>
    </row>
    <row r="641" ht="15.75" customHeight="1">
      <c r="B641" s="43"/>
    </row>
    <row r="642" ht="15.75" customHeight="1">
      <c r="B642" s="43"/>
    </row>
    <row r="643" ht="15.75" customHeight="1">
      <c r="B643" s="43"/>
    </row>
    <row r="644" ht="15.75" customHeight="1">
      <c r="B644" s="43"/>
    </row>
    <row r="645" ht="15.75" customHeight="1">
      <c r="B645" s="43"/>
    </row>
    <row r="646" ht="15.75" customHeight="1">
      <c r="B646" s="43"/>
    </row>
    <row r="647" ht="15.75" customHeight="1">
      <c r="B647" s="43"/>
    </row>
    <row r="648" ht="15.75" customHeight="1">
      <c r="B648" s="43"/>
    </row>
    <row r="649" ht="15.75" customHeight="1">
      <c r="B649" s="43"/>
    </row>
    <row r="650" ht="15.75" customHeight="1">
      <c r="B650" s="43"/>
    </row>
    <row r="651" ht="15.75" customHeight="1">
      <c r="B651" s="43"/>
    </row>
    <row r="652" ht="15.75" customHeight="1">
      <c r="B652" s="43"/>
    </row>
    <row r="653" ht="15.75" customHeight="1">
      <c r="B653" s="43"/>
    </row>
    <row r="654" ht="15.75" customHeight="1">
      <c r="B654" s="43"/>
    </row>
    <row r="655" ht="15.75" customHeight="1">
      <c r="B655" s="43"/>
    </row>
    <row r="656" ht="15.75" customHeight="1">
      <c r="B656" s="43"/>
    </row>
    <row r="657" ht="15.75" customHeight="1">
      <c r="B657" s="43"/>
    </row>
    <row r="658" ht="15.75" customHeight="1">
      <c r="B658" s="43"/>
    </row>
    <row r="659" ht="15.75" customHeight="1">
      <c r="B659" s="43"/>
    </row>
    <row r="660" ht="15.75" customHeight="1">
      <c r="B660" s="43"/>
    </row>
    <row r="661" ht="15.75" customHeight="1">
      <c r="B661" s="43"/>
    </row>
    <row r="662" ht="15.75" customHeight="1">
      <c r="B662" s="43"/>
    </row>
    <row r="663" ht="15.75" customHeight="1">
      <c r="B663" s="43"/>
    </row>
    <row r="664" ht="15.75" customHeight="1">
      <c r="B664" s="43"/>
    </row>
    <row r="665" ht="15.75" customHeight="1">
      <c r="B665" s="43"/>
    </row>
    <row r="666" ht="15.75" customHeight="1">
      <c r="B666" s="43"/>
    </row>
    <row r="667" ht="15.75" customHeight="1">
      <c r="B667" s="43"/>
    </row>
    <row r="668" ht="15.75" customHeight="1">
      <c r="B668" s="43"/>
    </row>
    <row r="669" ht="15.75" customHeight="1">
      <c r="B669" s="43"/>
    </row>
    <row r="670" ht="15.75" customHeight="1">
      <c r="B670" s="43"/>
    </row>
    <row r="671" ht="15.75" customHeight="1">
      <c r="B671" s="43"/>
    </row>
    <row r="672" ht="15.75" customHeight="1">
      <c r="B672" s="43"/>
    </row>
    <row r="673" ht="15.75" customHeight="1">
      <c r="B673" s="43"/>
    </row>
    <row r="674" ht="15.75" customHeight="1">
      <c r="B674" s="43"/>
    </row>
    <row r="675" ht="15.75" customHeight="1">
      <c r="B675" s="43"/>
    </row>
    <row r="676" ht="15.75" customHeight="1">
      <c r="B676" s="43"/>
    </row>
    <row r="677" ht="15.75" customHeight="1">
      <c r="B677" s="43"/>
    </row>
    <row r="678" ht="15.75" customHeight="1">
      <c r="B678" s="43"/>
    </row>
    <row r="679" ht="15.75" customHeight="1">
      <c r="B679" s="43"/>
    </row>
    <row r="680" ht="15.75" customHeight="1">
      <c r="B680" s="43"/>
    </row>
    <row r="681" ht="15.75" customHeight="1">
      <c r="B681" s="43"/>
    </row>
    <row r="682" ht="15.75" customHeight="1">
      <c r="B682" s="43"/>
    </row>
    <row r="683" ht="15.75" customHeight="1">
      <c r="B683" s="43"/>
    </row>
    <row r="684" ht="15.75" customHeight="1">
      <c r="B684" s="43"/>
    </row>
    <row r="685" ht="15.75" customHeight="1">
      <c r="B685" s="43"/>
    </row>
    <row r="686" ht="15.75" customHeight="1">
      <c r="B686" s="43"/>
    </row>
    <row r="687" ht="15.75" customHeight="1">
      <c r="B687" s="43"/>
    </row>
    <row r="688" ht="15.75" customHeight="1">
      <c r="B688" s="43"/>
    </row>
    <row r="689" ht="15.75" customHeight="1">
      <c r="B689" s="43"/>
    </row>
    <row r="690" ht="15.75" customHeight="1">
      <c r="B690" s="43"/>
    </row>
    <row r="691" ht="15.75" customHeight="1">
      <c r="B691" s="43"/>
    </row>
    <row r="692" ht="15.75" customHeight="1">
      <c r="B692" s="43"/>
    </row>
    <row r="693" ht="15.75" customHeight="1">
      <c r="B693" s="43"/>
    </row>
    <row r="694" ht="15.75" customHeight="1">
      <c r="B694" s="43"/>
    </row>
    <row r="695" ht="15.75" customHeight="1">
      <c r="B695" s="43"/>
    </row>
    <row r="696" ht="15.75" customHeight="1">
      <c r="B696" s="43"/>
    </row>
    <row r="697" ht="15.75" customHeight="1">
      <c r="B697" s="43"/>
    </row>
    <row r="698" ht="15.75" customHeight="1">
      <c r="B698" s="43"/>
    </row>
    <row r="699" ht="15.75" customHeight="1">
      <c r="B699" s="43"/>
    </row>
    <row r="700" ht="15.75" customHeight="1">
      <c r="B700" s="43"/>
    </row>
    <row r="701" ht="15.75" customHeight="1">
      <c r="B701" s="43"/>
    </row>
    <row r="702" ht="15.75" customHeight="1">
      <c r="B702" s="43"/>
    </row>
    <row r="703" ht="15.75" customHeight="1">
      <c r="B703" s="43"/>
    </row>
    <row r="704" ht="15.75" customHeight="1">
      <c r="B704" s="43"/>
    </row>
    <row r="705" ht="15.75" customHeight="1">
      <c r="B705" s="43"/>
    </row>
    <row r="706" ht="15.75" customHeight="1">
      <c r="B706" s="43"/>
    </row>
    <row r="707" ht="15.75" customHeight="1">
      <c r="B707" s="43"/>
    </row>
    <row r="708" ht="15.75" customHeight="1">
      <c r="B708" s="43"/>
    </row>
    <row r="709" ht="15.75" customHeight="1">
      <c r="B709" s="43"/>
    </row>
    <row r="710" ht="15.75" customHeight="1">
      <c r="B710" s="43"/>
    </row>
    <row r="711" ht="15.75" customHeight="1">
      <c r="B711" s="43"/>
    </row>
    <row r="712" ht="15.75" customHeight="1">
      <c r="B712" s="43"/>
    </row>
    <row r="713" ht="15.75" customHeight="1">
      <c r="B713" s="43"/>
    </row>
    <row r="714" ht="15.75" customHeight="1">
      <c r="B714" s="43"/>
    </row>
    <row r="715" ht="15.75" customHeight="1">
      <c r="B715" s="43"/>
    </row>
    <row r="716" ht="15.75" customHeight="1">
      <c r="B716" s="43"/>
    </row>
    <row r="717" ht="15.75" customHeight="1">
      <c r="B717" s="43"/>
    </row>
    <row r="718" ht="15.75" customHeight="1">
      <c r="B718" s="43"/>
    </row>
    <row r="719" ht="15.75" customHeight="1">
      <c r="B719" s="43"/>
    </row>
    <row r="720" ht="15.75" customHeight="1">
      <c r="B720" s="43"/>
    </row>
    <row r="721" ht="15.75" customHeight="1">
      <c r="B721" s="43"/>
    </row>
    <row r="722" ht="15.75" customHeight="1">
      <c r="B722" s="43"/>
    </row>
    <row r="723" ht="15.75" customHeight="1">
      <c r="B723" s="43"/>
    </row>
    <row r="724" ht="15.75" customHeight="1">
      <c r="B724" s="43"/>
    </row>
    <row r="725" ht="15.75" customHeight="1">
      <c r="B725" s="43"/>
    </row>
    <row r="726" ht="15.75" customHeight="1">
      <c r="B726" s="43"/>
    </row>
    <row r="727" ht="15.75" customHeight="1">
      <c r="B727" s="43"/>
    </row>
    <row r="728" ht="15.75" customHeight="1">
      <c r="B728" s="43"/>
    </row>
    <row r="729" ht="15.75" customHeight="1">
      <c r="B729" s="43"/>
    </row>
    <row r="730" ht="15.75" customHeight="1">
      <c r="B730" s="43"/>
    </row>
    <row r="731" ht="15.75" customHeight="1">
      <c r="B731" s="43"/>
    </row>
    <row r="732" ht="15.75" customHeight="1">
      <c r="B732" s="43"/>
    </row>
    <row r="733" ht="15.75" customHeight="1">
      <c r="B733" s="43"/>
    </row>
    <row r="734" ht="15.75" customHeight="1">
      <c r="B734" s="43"/>
    </row>
    <row r="735" ht="15.75" customHeight="1">
      <c r="B735" s="43"/>
    </row>
    <row r="736" ht="15.75" customHeight="1">
      <c r="B736" s="43"/>
    </row>
    <row r="737" ht="15.75" customHeight="1">
      <c r="B737" s="43"/>
    </row>
    <row r="738" ht="15.75" customHeight="1">
      <c r="B738" s="43"/>
    </row>
    <row r="739" ht="15.75" customHeight="1">
      <c r="B739" s="43"/>
    </row>
    <row r="740" ht="15.75" customHeight="1">
      <c r="B740" s="43"/>
    </row>
    <row r="741" ht="15.75" customHeight="1">
      <c r="B741" s="43"/>
    </row>
    <row r="742" ht="15.75" customHeight="1">
      <c r="B742" s="43"/>
    </row>
    <row r="743" ht="15.75" customHeight="1">
      <c r="B743" s="43"/>
    </row>
    <row r="744" ht="15.75" customHeight="1">
      <c r="B744" s="43"/>
    </row>
    <row r="745" ht="15.75" customHeight="1">
      <c r="B745" s="43"/>
    </row>
    <row r="746" ht="15.75" customHeight="1">
      <c r="B746" s="43"/>
    </row>
    <row r="747" ht="15.75" customHeight="1">
      <c r="B747" s="43"/>
    </row>
    <row r="748" ht="15.75" customHeight="1">
      <c r="B748" s="43"/>
    </row>
    <row r="749" ht="15.75" customHeight="1">
      <c r="B749" s="43"/>
    </row>
    <row r="750" ht="15.75" customHeight="1">
      <c r="B750" s="43"/>
    </row>
    <row r="751" ht="15.75" customHeight="1">
      <c r="B751" s="43"/>
    </row>
    <row r="752" ht="15.75" customHeight="1">
      <c r="B752" s="43"/>
    </row>
    <row r="753" ht="15.75" customHeight="1">
      <c r="B753" s="43"/>
    </row>
    <row r="754" ht="15.75" customHeight="1">
      <c r="B754" s="43"/>
    </row>
    <row r="755" ht="15.75" customHeight="1">
      <c r="B755" s="43"/>
    </row>
    <row r="756" ht="15.75" customHeight="1">
      <c r="B756" s="43"/>
    </row>
    <row r="757" ht="15.75" customHeight="1">
      <c r="B757" s="43"/>
    </row>
    <row r="758" ht="15.75" customHeight="1">
      <c r="B758" s="43"/>
    </row>
    <row r="759" ht="15.75" customHeight="1">
      <c r="B759" s="43"/>
    </row>
    <row r="760" ht="15.75" customHeight="1">
      <c r="B760" s="43"/>
    </row>
    <row r="761" ht="15.75" customHeight="1">
      <c r="B761" s="43"/>
    </row>
    <row r="762" ht="15.75" customHeight="1">
      <c r="B762" s="43"/>
    </row>
    <row r="763" ht="15.75" customHeight="1">
      <c r="B763" s="43"/>
    </row>
    <row r="764" ht="15.75" customHeight="1">
      <c r="B764" s="43"/>
    </row>
    <row r="765" ht="15.75" customHeight="1">
      <c r="B765" s="43"/>
    </row>
    <row r="766" ht="15.75" customHeight="1">
      <c r="B766" s="43"/>
    </row>
    <row r="767" ht="15.75" customHeight="1">
      <c r="B767" s="43"/>
    </row>
    <row r="768" ht="15.75" customHeight="1">
      <c r="B768" s="43"/>
    </row>
    <row r="769" ht="15.75" customHeight="1">
      <c r="B769" s="43"/>
    </row>
    <row r="770" ht="15.75" customHeight="1">
      <c r="B770" s="43"/>
    </row>
    <row r="771" ht="15.75" customHeight="1">
      <c r="B771" s="43"/>
    </row>
    <row r="772" ht="15.75" customHeight="1">
      <c r="B772" s="43"/>
    </row>
    <row r="773" ht="15.75" customHeight="1">
      <c r="B773" s="43"/>
    </row>
    <row r="774" ht="15.75" customHeight="1">
      <c r="B774" s="43"/>
    </row>
    <row r="775" ht="15.75" customHeight="1">
      <c r="B775" s="43"/>
    </row>
    <row r="776" ht="15.75" customHeight="1">
      <c r="B776" s="43"/>
    </row>
    <row r="777" ht="15.75" customHeight="1">
      <c r="B777" s="43"/>
    </row>
    <row r="778" ht="15.75" customHeight="1">
      <c r="B778" s="43"/>
    </row>
    <row r="779" ht="15.75" customHeight="1">
      <c r="B779" s="43"/>
    </row>
    <row r="780" ht="15.75" customHeight="1">
      <c r="B780" s="43"/>
    </row>
    <row r="781" ht="15.75" customHeight="1">
      <c r="B781" s="43"/>
    </row>
    <row r="782" ht="15.75" customHeight="1">
      <c r="B782" s="43"/>
    </row>
    <row r="783" ht="15.75" customHeight="1">
      <c r="B783" s="43"/>
    </row>
    <row r="784" ht="15.75" customHeight="1">
      <c r="B784" s="43"/>
    </row>
    <row r="785" ht="15.75" customHeight="1">
      <c r="B785" s="43"/>
    </row>
    <row r="786" ht="15.75" customHeight="1">
      <c r="B786" s="43"/>
    </row>
    <row r="787" ht="15.75" customHeight="1">
      <c r="B787" s="43"/>
    </row>
    <row r="788" ht="15.75" customHeight="1">
      <c r="B788" s="43"/>
    </row>
    <row r="789" ht="15.75" customHeight="1">
      <c r="B789" s="43"/>
    </row>
    <row r="790" ht="15.75" customHeight="1">
      <c r="B790" s="43"/>
    </row>
    <row r="791" ht="15.75" customHeight="1">
      <c r="B791" s="43"/>
    </row>
    <row r="792" ht="15.75" customHeight="1">
      <c r="B792" s="43"/>
    </row>
    <row r="793" ht="15.75" customHeight="1">
      <c r="B793" s="43"/>
    </row>
    <row r="794" ht="15.75" customHeight="1">
      <c r="B794" s="43"/>
    </row>
    <row r="795" ht="15.75" customHeight="1">
      <c r="B795" s="43"/>
    </row>
    <row r="796" ht="15.75" customHeight="1">
      <c r="B796" s="43"/>
    </row>
    <row r="797" ht="15.75" customHeight="1">
      <c r="B797" s="43"/>
    </row>
    <row r="798" ht="15.75" customHeight="1">
      <c r="B798" s="43"/>
    </row>
    <row r="799" ht="15.75" customHeight="1">
      <c r="B799" s="43"/>
    </row>
    <row r="800" ht="15.75" customHeight="1">
      <c r="B800" s="43"/>
    </row>
    <row r="801" ht="15.75" customHeight="1">
      <c r="B801" s="43"/>
    </row>
    <row r="802" ht="15.75" customHeight="1">
      <c r="B802" s="43"/>
    </row>
    <row r="803" ht="15.75" customHeight="1">
      <c r="B803" s="43"/>
    </row>
    <row r="804" ht="15.75" customHeight="1">
      <c r="B804" s="43"/>
    </row>
    <row r="805" ht="15.75" customHeight="1">
      <c r="B805" s="43"/>
    </row>
    <row r="806" ht="15.75" customHeight="1">
      <c r="B806" s="43"/>
    </row>
    <row r="807" ht="15.75" customHeight="1">
      <c r="B807" s="43"/>
    </row>
    <row r="808" ht="15.75" customHeight="1">
      <c r="B808" s="43"/>
    </row>
    <row r="809" ht="15.75" customHeight="1">
      <c r="B809" s="43"/>
    </row>
    <row r="810" ht="15.75" customHeight="1">
      <c r="B810" s="43"/>
    </row>
    <row r="811" ht="15.75" customHeight="1">
      <c r="B811" s="43"/>
    </row>
    <row r="812" ht="15.75" customHeight="1">
      <c r="B812" s="43"/>
    </row>
    <row r="813" ht="15.75" customHeight="1">
      <c r="B813" s="43"/>
    </row>
    <row r="814" ht="15.75" customHeight="1">
      <c r="B814" s="43"/>
    </row>
    <row r="815" ht="15.75" customHeight="1">
      <c r="B815" s="43"/>
    </row>
    <row r="816" ht="15.75" customHeight="1">
      <c r="B816" s="43"/>
    </row>
    <row r="817" ht="15.75" customHeight="1">
      <c r="B817" s="43"/>
    </row>
    <row r="818" ht="15.75" customHeight="1">
      <c r="B818" s="43"/>
    </row>
    <row r="819" ht="15.75" customHeight="1">
      <c r="B819" s="43"/>
    </row>
    <row r="820" ht="15.75" customHeight="1">
      <c r="B820" s="43"/>
    </row>
    <row r="821" ht="15.75" customHeight="1">
      <c r="B821" s="43"/>
    </row>
    <row r="822" ht="15.75" customHeight="1">
      <c r="B822" s="43"/>
    </row>
    <row r="823" ht="15.75" customHeight="1">
      <c r="B823" s="43"/>
    </row>
    <row r="824" ht="15.75" customHeight="1">
      <c r="B824" s="43"/>
    </row>
    <row r="825" ht="15.75" customHeight="1">
      <c r="B825" s="43"/>
    </row>
    <row r="826" ht="15.75" customHeight="1">
      <c r="B826" s="43"/>
    </row>
    <row r="827" ht="15.75" customHeight="1">
      <c r="B827" s="43"/>
    </row>
    <row r="828" ht="15.75" customHeight="1">
      <c r="B828" s="43"/>
    </row>
    <row r="829" ht="15.75" customHeight="1">
      <c r="B829" s="43"/>
    </row>
    <row r="830" ht="15.75" customHeight="1">
      <c r="B830" s="43"/>
    </row>
    <row r="831" ht="15.75" customHeight="1">
      <c r="B831" s="43"/>
    </row>
    <row r="832" ht="15.75" customHeight="1">
      <c r="B832" s="43"/>
    </row>
    <row r="833" ht="15.75" customHeight="1">
      <c r="B833" s="43"/>
    </row>
    <row r="834" ht="15.75" customHeight="1">
      <c r="B834" s="43"/>
    </row>
    <row r="835" ht="15.75" customHeight="1">
      <c r="B835" s="43"/>
    </row>
    <row r="836" ht="15.75" customHeight="1">
      <c r="B836" s="43"/>
    </row>
    <row r="837" ht="15.75" customHeight="1">
      <c r="B837" s="43"/>
    </row>
    <row r="838" ht="15.75" customHeight="1">
      <c r="B838" s="43"/>
    </row>
    <row r="839" ht="15.75" customHeight="1">
      <c r="B839" s="43"/>
    </row>
    <row r="840" ht="15.75" customHeight="1">
      <c r="B840" s="43"/>
    </row>
    <row r="841" ht="15.75" customHeight="1">
      <c r="B841" s="43"/>
    </row>
    <row r="842" ht="15.75" customHeight="1">
      <c r="B842" s="43"/>
    </row>
    <row r="843" ht="15.75" customHeight="1">
      <c r="B843" s="43"/>
    </row>
    <row r="844" ht="15.75" customHeight="1">
      <c r="B844" s="43"/>
    </row>
    <row r="845" ht="15.75" customHeight="1">
      <c r="B845" s="43"/>
    </row>
    <row r="846" ht="15.75" customHeight="1">
      <c r="B846" s="43"/>
    </row>
    <row r="847" ht="15.75" customHeight="1">
      <c r="B847" s="43"/>
    </row>
    <row r="848" ht="15.75" customHeight="1">
      <c r="B848" s="43"/>
    </row>
    <row r="849" ht="15.75" customHeight="1">
      <c r="B849" s="43"/>
    </row>
    <row r="850" ht="15.75" customHeight="1">
      <c r="B850" s="43"/>
    </row>
    <row r="851" ht="15.75" customHeight="1">
      <c r="B851" s="43"/>
    </row>
    <row r="852" ht="15.75" customHeight="1">
      <c r="B852" s="43"/>
    </row>
    <row r="853" ht="15.75" customHeight="1">
      <c r="B853" s="43"/>
    </row>
    <row r="854" ht="15.75" customHeight="1">
      <c r="B854" s="43"/>
    </row>
    <row r="855" ht="15.75" customHeight="1">
      <c r="B855" s="43"/>
    </row>
    <row r="856" ht="15.75" customHeight="1">
      <c r="B856" s="43"/>
    </row>
    <row r="857" ht="15.75" customHeight="1">
      <c r="B857" s="43"/>
    </row>
    <row r="858" ht="15.75" customHeight="1">
      <c r="B858" s="43"/>
    </row>
    <row r="859" ht="15.75" customHeight="1">
      <c r="B859" s="43"/>
    </row>
    <row r="860" ht="15.75" customHeight="1">
      <c r="B860" s="43"/>
    </row>
    <row r="861" ht="15.75" customHeight="1">
      <c r="B861" s="43"/>
    </row>
    <row r="862" ht="15.75" customHeight="1">
      <c r="B862" s="43"/>
    </row>
    <row r="863" ht="15.75" customHeight="1">
      <c r="B863" s="43"/>
    </row>
    <row r="864" ht="15.75" customHeight="1">
      <c r="B864" s="43"/>
    </row>
    <row r="865" ht="15.75" customHeight="1">
      <c r="B865" s="43"/>
    </row>
    <row r="866" ht="15.75" customHeight="1">
      <c r="B866" s="43"/>
    </row>
    <row r="867" ht="15.75" customHeight="1">
      <c r="B867" s="43"/>
    </row>
    <row r="868" ht="15.75" customHeight="1">
      <c r="B868" s="43"/>
    </row>
    <row r="869" ht="15.75" customHeight="1">
      <c r="B869" s="43"/>
    </row>
    <row r="870" ht="15.75" customHeight="1">
      <c r="B870" s="43"/>
    </row>
    <row r="871" ht="15.75" customHeight="1">
      <c r="B871" s="43"/>
    </row>
    <row r="872" ht="15.75" customHeight="1">
      <c r="B872" s="43"/>
    </row>
    <row r="873" ht="15.75" customHeight="1">
      <c r="B873" s="43"/>
    </row>
    <row r="874" ht="15.75" customHeight="1">
      <c r="B874" s="43"/>
    </row>
    <row r="875" ht="15.75" customHeight="1">
      <c r="B875" s="43"/>
    </row>
    <row r="876" ht="15.75" customHeight="1">
      <c r="B876" s="43"/>
    </row>
    <row r="877" ht="15.75" customHeight="1">
      <c r="B877" s="43"/>
    </row>
    <row r="878" ht="15.75" customHeight="1">
      <c r="B878" s="43"/>
    </row>
    <row r="879" ht="15.75" customHeight="1">
      <c r="B879" s="43"/>
    </row>
    <row r="880" ht="15.75" customHeight="1">
      <c r="B880" s="43"/>
    </row>
    <row r="881" ht="15.75" customHeight="1">
      <c r="B881" s="43"/>
    </row>
    <row r="882" ht="15.75" customHeight="1">
      <c r="B882" s="43"/>
    </row>
    <row r="883" ht="15.75" customHeight="1">
      <c r="B883" s="43"/>
    </row>
    <row r="884" ht="15.75" customHeight="1">
      <c r="B884" s="43"/>
    </row>
    <row r="885" ht="15.75" customHeight="1">
      <c r="B885" s="43"/>
    </row>
    <row r="886" ht="15.75" customHeight="1">
      <c r="B886" s="43"/>
    </row>
    <row r="887" ht="15.75" customHeight="1">
      <c r="B887" s="43"/>
    </row>
    <row r="888" ht="15.75" customHeight="1">
      <c r="B888" s="43"/>
    </row>
    <row r="889" ht="15.75" customHeight="1">
      <c r="B889" s="43"/>
    </row>
    <row r="890" ht="15.75" customHeight="1">
      <c r="B890" s="43"/>
    </row>
    <row r="891" ht="15.75" customHeight="1">
      <c r="B891" s="43"/>
    </row>
    <row r="892" ht="15.75" customHeight="1">
      <c r="B892" s="43"/>
    </row>
    <row r="893" ht="15.75" customHeight="1">
      <c r="B893" s="43"/>
    </row>
    <row r="894" ht="15.75" customHeight="1">
      <c r="B894" s="43"/>
    </row>
    <row r="895" ht="15.75" customHeight="1">
      <c r="B895" s="43"/>
    </row>
    <row r="896" ht="15.75" customHeight="1">
      <c r="B896" s="43"/>
    </row>
    <row r="897" ht="15.75" customHeight="1">
      <c r="B897" s="43"/>
    </row>
    <row r="898" ht="15.75" customHeight="1">
      <c r="B898" s="43"/>
    </row>
    <row r="899" ht="15.75" customHeight="1">
      <c r="B899" s="43"/>
    </row>
    <row r="900" ht="15.75" customHeight="1">
      <c r="B900" s="43"/>
    </row>
    <row r="901" ht="15.75" customHeight="1">
      <c r="B901" s="43"/>
    </row>
    <row r="902" ht="15.75" customHeight="1">
      <c r="B902" s="43"/>
    </row>
    <row r="903" ht="15.75" customHeight="1">
      <c r="B903" s="43"/>
    </row>
    <row r="904" ht="15.75" customHeight="1">
      <c r="B904" s="43"/>
    </row>
    <row r="905" ht="15.75" customHeight="1">
      <c r="B905" s="43"/>
    </row>
    <row r="906" ht="15.75" customHeight="1">
      <c r="B906" s="43"/>
    </row>
    <row r="907" ht="15.75" customHeight="1">
      <c r="B907" s="43"/>
    </row>
    <row r="908" ht="15.75" customHeight="1">
      <c r="B908" s="43"/>
    </row>
    <row r="909" ht="15.75" customHeight="1">
      <c r="B909" s="43"/>
    </row>
    <row r="910" ht="15.75" customHeight="1">
      <c r="B910" s="43"/>
    </row>
    <row r="911" ht="15.75" customHeight="1">
      <c r="B911" s="43"/>
    </row>
    <row r="912" ht="15.75" customHeight="1">
      <c r="B912" s="43"/>
    </row>
    <row r="913" ht="15.75" customHeight="1">
      <c r="B913" s="43"/>
    </row>
    <row r="914" ht="15.75" customHeight="1">
      <c r="B914" s="43"/>
    </row>
    <row r="915" ht="15.75" customHeight="1">
      <c r="B915" s="43"/>
    </row>
    <row r="916" ht="15.75" customHeight="1">
      <c r="B916" s="43"/>
    </row>
    <row r="917" ht="15.75" customHeight="1">
      <c r="B917" s="43"/>
    </row>
    <row r="918" ht="15.75" customHeight="1">
      <c r="B918" s="43"/>
    </row>
    <row r="919" ht="15.75" customHeight="1">
      <c r="B919" s="43"/>
    </row>
    <row r="920" ht="15.75" customHeight="1">
      <c r="B920" s="43"/>
    </row>
    <row r="921" ht="15.75" customHeight="1">
      <c r="B921" s="43"/>
    </row>
    <row r="922" ht="15.75" customHeight="1">
      <c r="B922" s="43"/>
    </row>
    <row r="923" ht="15.75" customHeight="1">
      <c r="B923" s="43"/>
    </row>
    <row r="924" ht="15.75" customHeight="1">
      <c r="B924" s="43"/>
    </row>
    <row r="925" ht="15.75" customHeight="1">
      <c r="B925" s="43"/>
    </row>
    <row r="926" ht="15.75" customHeight="1">
      <c r="B926" s="43"/>
    </row>
    <row r="927" ht="15.75" customHeight="1">
      <c r="B927" s="43"/>
    </row>
    <row r="928" ht="15.75" customHeight="1">
      <c r="B928" s="43"/>
    </row>
    <row r="929" ht="15.75" customHeight="1">
      <c r="B929" s="43"/>
    </row>
    <row r="930" ht="15.75" customHeight="1">
      <c r="B930" s="43"/>
    </row>
    <row r="931" ht="15.75" customHeight="1">
      <c r="B931" s="43"/>
    </row>
    <row r="932" ht="15.75" customHeight="1">
      <c r="B932" s="43"/>
    </row>
    <row r="933" ht="15.75" customHeight="1">
      <c r="B933" s="43"/>
    </row>
    <row r="934" ht="15.75" customHeight="1">
      <c r="B934" s="43"/>
    </row>
    <row r="935" ht="15.75" customHeight="1">
      <c r="B935" s="43"/>
    </row>
    <row r="936" ht="15.75" customHeight="1">
      <c r="B936" s="43"/>
    </row>
    <row r="937" ht="15.75" customHeight="1">
      <c r="B937" s="43"/>
    </row>
    <row r="938" ht="15.75" customHeight="1">
      <c r="B938" s="43"/>
    </row>
    <row r="939" ht="15.75" customHeight="1">
      <c r="B939" s="43"/>
    </row>
    <row r="940" ht="15.75" customHeight="1">
      <c r="B940" s="43"/>
    </row>
    <row r="941" ht="15.75" customHeight="1">
      <c r="B941" s="43"/>
    </row>
    <row r="942" ht="15.75" customHeight="1">
      <c r="B942" s="43"/>
    </row>
    <row r="943" ht="15.75" customHeight="1">
      <c r="B943" s="43"/>
    </row>
    <row r="944" ht="15.75" customHeight="1">
      <c r="B944" s="43"/>
    </row>
    <row r="945" ht="15.75" customHeight="1">
      <c r="B945" s="43"/>
    </row>
    <row r="946" ht="15.75" customHeight="1">
      <c r="B946" s="43"/>
    </row>
    <row r="947" ht="15.75" customHeight="1">
      <c r="B947" s="43"/>
    </row>
    <row r="948" ht="15.75" customHeight="1">
      <c r="B948" s="43"/>
    </row>
    <row r="949" ht="15.75" customHeight="1">
      <c r="B949" s="43"/>
    </row>
    <row r="950" ht="15.75" customHeight="1">
      <c r="B950" s="43"/>
    </row>
    <row r="951" ht="15.75" customHeight="1">
      <c r="B951" s="43"/>
    </row>
    <row r="952" ht="15.75" customHeight="1">
      <c r="B952" s="43"/>
    </row>
    <row r="953" ht="15.75" customHeight="1">
      <c r="B953" s="43"/>
    </row>
    <row r="954" ht="15.75" customHeight="1">
      <c r="B954" s="43"/>
    </row>
    <row r="955" ht="15.75" customHeight="1">
      <c r="B955" s="43"/>
    </row>
    <row r="956" ht="15.75" customHeight="1">
      <c r="B956" s="43"/>
    </row>
    <row r="957" ht="15.75" customHeight="1">
      <c r="B957" s="43"/>
    </row>
    <row r="958" ht="15.75" customHeight="1">
      <c r="B958" s="43"/>
    </row>
    <row r="959" ht="15.75" customHeight="1">
      <c r="B959" s="43"/>
    </row>
    <row r="960" ht="15.75" customHeight="1">
      <c r="B960" s="43"/>
    </row>
    <row r="961" ht="15.75" customHeight="1">
      <c r="B961" s="43"/>
    </row>
    <row r="962" ht="15.75" customHeight="1">
      <c r="B962" s="43"/>
    </row>
    <row r="963" ht="15.75" customHeight="1">
      <c r="B963" s="43"/>
    </row>
    <row r="964" ht="15.75" customHeight="1">
      <c r="B964" s="43"/>
    </row>
    <row r="965" ht="15.75" customHeight="1">
      <c r="B965" s="43"/>
    </row>
    <row r="966" ht="15.75" customHeight="1">
      <c r="B966" s="43"/>
    </row>
    <row r="967" ht="15.75" customHeight="1">
      <c r="B967" s="43"/>
    </row>
    <row r="968" ht="15.75" customHeight="1">
      <c r="B968" s="43"/>
    </row>
    <row r="969" ht="15.75" customHeight="1">
      <c r="B969" s="43"/>
    </row>
    <row r="970" ht="15.75" customHeight="1">
      <c r="B970" s="43"/>
    </row>
    <row r="971" ht="15.75" customHeight="1">
      <c r="B971" s="43"/>
    </row>
    <row r="972" ht="15.75" customHeight="1">
      <c r="B972" s="43"/>
    </row>
    <row r="973" ht="15.75" customHeight="1">
      <c r="B973" s="43"/>
    </row>
    <row r="974" ht="15.75" customHeight="1">
      <c r="B974" s="43"/>
    </row>
    <row r="975" ht="15.75" customHeight="1">
      <c r="B975" s="43"/>
    </row>
    <row r="976" ht="15.75" customHeight="1">
      <c r="B976" s="43"/>
    </row>
    <row r="977" ht="15.75" customHeight="1">
      <c r="B977" s="43"/>
    </row>
    <row r="978" ht="15.75" customHeight="1">
      <c r="B978" s="43"/>
    </row>
    <row r="979" ht="15.75" customHeight="1">
      <c r="B979" s="43"/>
    </row>
    <row r="980" ht="15.75" customHeight="1">
      <c r="B980" s="43"/>
    </row>
    <row r="981" ht="15.75" customHeight="1">
      <c r="B981" s="43"/>
    </row>
    <row r="982" ht="15.75" customHeight="1">
      <c r="B982" s="43"/>
    </row>
    <row r="983" ht="15.75" customHeight="1">
      <c r="B983" s="43"/>
    </row>
    <row r="984" ht="15.75" customHeight="1">
      <c r="B984" s="43"/>
    </row>
    <row r="985" ht="15.75" customHeight="1">
      <c r="B985" s="43"/>
    </row>
    <row r="986" ht="15.75" customHeight="1">
      <c r="B986" s="43"/>
    </row>
    <row r="987" ht="15.75" customHeight="1">
      <c r="B987" s="43"/>
    </row>
    <row r="988" ht="15.75" customHeight="1">
      <c r="B988" s="43"/>
    </row>
    <row r="989" ht="15.75" customHeight="1">
      <c r="B989" s="43"/>
    </row>
    <row r="990" ht="15.75" customHeight="1">
      <c r="B990" s="43"/>
    </row>
    <row r="991" ht="15.75" customHeight="1">
      <c r="B991" s="43"/>
    </row>
    <row r="992" ht="15.75" customHeight="1">
      <c r="B992" s="43"/>
    </row>
    <row r="993" ht="15.75" customHeight="1">
      <c r="B993" s="43"/>
    </row>
    <row r="994" ht="15.75" customHeight="1">
      <c r="B994" s="43"/>
    </row>
    <row r="995" ht="15.75" customHeight="1">
      <c r="B995" s="43"/>
    </row>
    <row r="996" ht="15.75" customHeight="1">
      <c r="B996" s="43"/>
    </row>
    <row r="997" ht="15.75" customHeight="1">
      <c r="B997" s="43"/>
    </row>
    <row r="998" ht="15.75" customHeight="1">
      <c r="B998" s="43"/>
    </row>
    <row r="999" ht="15.75" customHeight="1">
      <c r="B999" s="43"/>
    </row>
    <row r="1000" ht="15.75" customHeight="1">
      <c r="B1000" s="4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5.71"/>
    <col customWidth="1" min="3" max="3" width="13.0"/>
    <col customWidth="1" min="4" max="26" width="59.29"/>
  </cols>
  <sheetData>
    <row r="1">
      <c r="A1" s="6" t="s">
        <v>75</v>
      </c>
      <c r="B1" s="6" t="s">
        <v>76</v>
      </c>
      <c r="C1" s="6" t="s">
        <v>77</v>
      </c>
    </row>
    <row r="2">
      <c r="A2" s="15" t="s">
        <v>78</v>
      </c>
      <c r="B2" s="36">
        <f>'5.1 - Investimentos fixos'!E27</f>
        <v>139600</v>
      </c>
      <c r="C2" s="44">
        <f t="shared" ref="C2:C4" si="1">B2/SUM($B$2:$B$4)</f>
        <v>0.8936973848</v>
      </c>
    </row>
    <row r="3">
      <c r="A3" s="15" t="s">
        <v>79</v>
      </c>
      <c r="B3" s="36">
        <f>'5.2 - Capital de giro'!B4</f>
        <v>1505</v>
      </c>
      <c r="C3" s="44">
        <f t="shared" si="1"/>
        <v>0.009634774815</v>
      </c>
    </row>
    <row r="4">
      <c r="A4" s="15" t="s">
        <v>80</v>
      </c>
      <c r="B4" s="36">
        <f>'5.3 - Investimentos pré-operaci'!B7</f>
        <v>15100</v>
      </c>
      <c r="C4" s="44">
        <f t="shared" si="1"/>
        <v>0.09666784034</v>
      </c>
    </row>
    <row r="5">
      <c r="A5" s="25" t="s">
        <v>81</v>
      </c>
      <c r="B5" s="45">
        <f t="shared" ref="B5:C5" si="2">SUM(B2:B4)</f>
        <v>156205</v>
      </c>
      <c r="C5" s="46">
        <f t="shared" si="2"/>
        <v>1</v>
      </c>
    </row>
    <row r="6">
      <c r="A6" s="47"/>
    </row>
    <row r="7">
      <c r="A7" s="6" t="s">
        <v>82</v>
      </c>
      <c r="B7" s="6" t="s">
        <v>76</v>
      </c>
      <c r="C7" s="6" t="s">
        <v>77</v>
      </c>
    </row>
    <row r="8">
      <c r="A8" s="15" t="s">
        <v>83</v>
      </c>
      <c r="B8" s="48">
        <v>139600.0</v>
      </c>
      <c r="C8" s="44">
        <f t="shared" ref="C8:C10" si="3">B8/SUM($B$8:$B$10)</f>
        <v>1</v>
      </c>
    </row>
    <row r="9">
      <c r="A9" s="15" t="s">
        <v>84</v>
      </c>
      <c r="B9" s="48"/>
      <c r="C9" s="44">
        <f t="shared" si="3"/>
        <v>0</v>
      </c>
    </row>
    <row r="10">
      <c r="A10" s="15" t="s">
        <v>85</v>
      </c>
      <c r="B10" s="5"/>
      <c r="C10" s="44">
        <f t="shared" si="3"/>
        <v>0</v>
      </c>
    </row>
    <row r="11">
      <c r="A11" s="25" t="s">
        <v>81</v>
      </c>
      <c r="B11" s="45">
        <f t="shared" ref="B11:C11" si="4">SUM(B8:B10)</f>
        <v>139600</v>
      </c>
      <c r="C11" s="46">
        <f t="shared" si="4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0.29"/>
    <col customWidth="1" min="3" max="3" width="37.43"/>
    <col customWidth="1" min="4" max="4" width="30.71"/>
    <col customWidth="1" min="5" max="26" width="49.43"/>
  </cols>
  <sheetData>
    <row r="1">
      <c r="A1" s="6" t="s">
        <v>86</v>
      </c>
      <c r="B1" s="6" t="s">
        <v>87</v>
      </c>
      <c r="C1" s="6" t="s">
        <v>88</v>
      </c>
      <c r="D1" s="6" t="s">
        <v>89</v>
      </c>
    </row>
    <row r="2">
      <c r="A2" s="6" t="s">
        <v>90</v>
      </c>
      <c r="B2" s="12">
        <v>4680.0</v>
      </c>
      <c r="C2" s="48">
        <v>89.9</v>
      </c>
      <c r="D2" s="36">
        <f t="shared" ref="D2:D6" si="1">B2*C2</f>
        <v>420732</v>
      </c>
    </row>
    <row r="3">
      <c r="A3" s="6">
        <v>2.0</v>
      </c>
      <c r="B3" s="49"/>
      <c r="C3" s="49"/>
      <c r="D3" s="36">
        <f t="shared" si="1"/>
        <v>0</v>
      </c>
    </row>
    <row r="4">
      <c r="A4" s="6">
        <v>3.0</v>
      </c>
      <c r="B4" s="49"/>
      <c r="C4" s="49"/>
      <c r="D4" s="36">
        <f t="shared" si="1"/>
        <v>0</v>
      </c>
    </row>
    <row r="5">
      <c r="A5" s="6">
        <v>4.0</v>
      </c>
      <c r="B5" s="49"/>
      <c r="C5" s="49"/>
      <c r="D5" s="36">
        <f t="shared" si="1"/>
        <v>0</v>
      </c>
    </row>
    <row r="6">
      <c r="A6" s="6">
        <v>5.0</v>
      </c>
      <c r="B6" s="49"/>
      <c r="C6" s="49"/>
      <c r="D6" s="36">
        <f t="shared" si="1"/>
        <v>0</v>
      </c>
    </row>
    <row r="7">
      <c r="A7" s="50" t="s">
        <v>4</v>
      </c>
      <c r="B7" s="2"/>
      <c r="C7" s="3"/>
      <c r="D7" s="51">
        <f>SUM(D2:D6)</f>
        <v>420732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C7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5.57"/>
    <col customWidth="1" min="3" max="3" width="20.57"/>
    <col customWidth="1" min="4" max="4" width="11.29"/>
    <col customWidth="1" min="5" max="26" width="22.86"/>
  </cols>
  <sheetData>
    <row r="1">
      <c r="A1" s="52" t="s">
        <v>91</v>
      </c>
      <c r="B1" s="2"/>
      <c r="C1" s="2"/>
      <c r="D1" s="3"/>
    </row>
    <row r="2">
      <c r="A2" s="12" t="s">
        <v>92</v>
      </c>
      <c r="B2" s="15" t="s">
        <v>93</v>
      </c>
      <c r="C2" s="15" t="s">
        <v>94</v>
      </c>
      <c r="D2" s="15" t="s">
        <v>95</v>
      </c>
    </row>
    <row r="3">
      <c r="A3" s="12"/>
      <c r="B3" s="53"/>
      <c r="C3" s="14"/>
      <c r="D3" s="54">
        <f t="shared" ref="D3:D8" si="1">B3*C3</f>
        <v>0</v>
      </c>
    </row>
    <row r="4">
      <c r="A4" s="12"/>
      <c r="B4" s="5"/>
      <c r="C4" s="14"/>
      <c r="D4" s="54">
        <f t="shared" si="1"/>
        <v>0</v>
      </c>
    </row>
    <row r="5">
      <c r="A5" s="12"/>
      <c r="B5" s="5"/>
      <c r="C5" s="14"/>
      <c r="D5" s="54">
        <f t="shared" si="1"/>
        <v>0</v>
      </c>
    </row>
    <row r="6">
      <c r="A6" s="12"/>
      <c r="B6" s="5"/>
      <c r="C6" s="14"/>
      <c r="D6" s="54">
        <f t="shared" si="1"/>
        <v>0</v>
      </c>
    </row>
    <row r="7">
      <c r="A7" s="12"/>
      <c r="B7" s="5"/>
      <c r="C7" s="14"/>
      <c r="D7" s="54">
        <f t="shared" si="1"/>
        <v>0</v>
      </c>
    </row>
    <row r="8">
      <c r="A8" s="12"/>
      <c r="B8" s="5"/>
      <c r="C8" s="14"/>
      <c r="D8" s="54">
        <f t="shared" si="1"/>
        <v>0</v>
      </c>
    </row>
    <row r="9">
      <c r="A9" s="50" t="s">
        <v>4</v>
      </c>
      <c r="B9" s="2"/>
      <c r="C9" s="3"/>
      <c r="D9" s="55">
        <f>SUM(D3:D8)</f>
        <v>0</v>
      </c>
    </row>
    <row r="11">
      <c r="A11" s="52" t="s">
        <v>96</v>
      </c>
      <c r="B11" s="2"/>
      <c r="C11" s="2"/>
      <c r="D11" s="3"/>
    </row>
    <row r="12">
      <c r="A12" s="12" t="s">
        <v>92</v>
      </c>
      <c r="B12" s="15" t="s">
        <v>93</v>
      </c>
      <c r="C12" s="15" t="s">
        <v>94</v>
      </c>
      <c r="D12" s="15" t="s">
        <v>95</v>
      </c>
    </row>
    <row r="13">
      <c r="A13" s="12"/>
      <c r="B13" s="53"/>
      <c r="C13" s="14"/>
      <c r="D13" s="54">
        <f t="shared" ref="D13:D18" si="2">B13*C13</f>
        <v>0</v>
      </c>
    </row>
    <row r="14">
      <c r="A14" s="6"/>
      <c r="B14" s="5"/>
      <c r="C14" s="14"/>
      <c r="D14" s="54">
        <f t="shared" si="2"/>
        <v>0</v>
      </c>
    </row>
    <row r="15">
      <c r="A15" s="6"/>
      <c r="B15" s="5"/>
      <c r="C15" s="14"/>
      <c r="D15" s="54">
        <f t="shared" si="2"/>
        <v>0</v>
      </c>
    </row>
    <row r="16">
      <c r="A16" s="6"/>
      <c r="B16" s="5"/>
      <c r="C16" s="14"/>
      <c r="D16" s="54">
        <f t="shared" si="2"/>
        <v>0</v>
      </c>
    </row>
    <row r="17">
      <c r="A17" s="6"/>
      <c r="B17" s="5"/>
      <c r="C17" s="14"/>
      <c r="D17" s="54">
        <f t="shared" si="2"/>
        <v>0</v>
      </c>
    </row>
    <row r="18">
      <c r="A18" s="6"/>
      <c r="B18" s="5"/>
      <c r="C18" s="14"/>
      <c r="D18" s="54">
        <f t="shared" si="2"/>
        <v>0</v>
      </c>
    </row>
    <row r="19">
      <c r="A19" s="50" t="s">
        <v>4</v>
      </c>
      <c r="B19" s="2"/>
      <c r="C19" s="3"/>
      <c r="D19" s="55">
        <f>SUM(D13:D18)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9:C9"/>
    <mergeCell ref="A11:D11"/>
    <mergeCell ref="A19:C19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4.0"/>
    <col customWidth="1" min="3" max="3" width="27.71"/>
    <col customWidth="1" min="4" max="4" width="45.0"/>
    <col customWidth="1" min="5" max="26" width="50.0"/>
  </cols>
  <sheetData>
    <row r="1">
      <c r="A1" s="6" t="s">
        <v>1</v>
      </c>
      <c r="B1" s="6" t="s">
        <v>77</v>
      </c>
      <c r="C1" s="6" t="s">
        <v>97</v>
      </c>
      <c r="D1" s="6" t="s">
        <v>98</v>
      </c>
    </row>
    <row r="2">
      <c r="A2" s="34" t="s">
        <v>99</v>
      </c>
      <c r="B2" s="2"/>
      <c r="C2" s="2"/>
      <c r="D2" s="3"/>
    </row>
    <row r="3">
      <c r="A3" s="34" t="s">
        <v>100</v>
      </c>
      <c r="B3" s="2"/>
      <c r="C3" s="2"/>
      <c r="D3" s="3"/>
    </row>
    <row r="4">
      <c r="A4" s="15" t="s">
        <v>101</v>
      </c>
      <c r="B4" s="56">
        <v>0.195</v>
      </c>
      <c r="C4" s="54">
        <f>'5.5 – Estimativa do faturamento'!$D$7</f>
        <v>420732</v>
      </c>
      <c r="D4" s="36">
        <f>(C4*B4)-9900</f>
        <v>72142.74</v>
      </c>
    </row>
    <row r="5">
      <c r="A5" s="15" t="s">
        <v>102</v>
      </c>
      <c r="B5" s="5"/>
      <c r="C5" s="54">
        <f>'5.5 – Estimativa do faturamento'!$D$7</f>
        <v>420732</v>
      </c>
      <c r="D5" s="36">
        <f t="shared" ref="D5:D8" si="1">C5*B5</f>
        <v>0</v>
      </c>
    </row>
    <row r="6">
      <c r="A6" s="15" t="s">
        <v>103</v>
      </c>
      <c r="B6" s="5"/>
      <c r="C6" s="54">
        <f>'5.5 – Estimativa do faturamento'!$D$7</f>
        <v>420732</v>
      </c>
      <c r="D6" s="36">
        <f t="shared" si="1"/>
        <v>0</v>
      </c>
    </row>
    <row r="7">
      <c r="A7" s="15" t="s">
        <v>104</v>
      </c>
      <c r="B7" s="5"/>
      <c r="C7" s="54">
        <f>'5.5 – Estimativa do faturamento'!$D$7</f>
        <v>420732</v>
      </c>
      <c r="D7" s="36">
        <f t="shared" si="1"/>
        <v>0</v>
      </c>
    </row>
    <row r="8">
      <c r="A8" s="15" t="s">
        <v>105</v>
      </c>
      <c r="B8" s="5"/>
      <c r="C8" s="54">
        <f>'5.5 – Estimativa do faturamento'!$D$7</f>
        <v>420732</v>
      </c>
      <c r="D8" s="36">
        <f t="shared" si="1"/>
        <v>0</v>
      </c>
    </row>
    <row r="9">
      <c r="A9" s="34" t="s">
        <v>106</v>
      </c>
      <c r="B9" s="2"/>
      <c r="C9" s="2"/>
      <c r="D9" s="3"/>
    </row>
    <row r="10">
      <c r="A10" s="15" t="s">
        <v>107</v>
      </c>
      <c r="B10" s="57"/>
      <c r="C10" s="54">
        <f>'5.5 – Estimativa do faturamento'!$D$7</f>
        <v>420732</v>
      </c>
      <c r="D10" s="36">
        <f>C10*B10</f>
        <v>0</v>
      </c>
    </row>
    <row r="11">
      <c r="A11" s="34" t="s">
        <v>108</v>
      </c>
      <c r="B11" s="2"/>
      <c r="C11" s="2"/>
      <c r="D11" s="3"/>
    </row>
    <row r="12">
      <c r="A12" s="15" t="s">
        <v>109</v>
      </c>
      <c r="B12" s="5"/>
      <c r="C12" s="54">
        <f>'5.5 – Estimativa do faturamento'!$D$7</f>
        <v>420732</v>
      </c>
      <c r="D12" s="36">
        <f>C12*B12</f>
        <v>0</v>
      </c>
    </row>
    <row r="13">
      <c r="A13" s="25" t="s">
        <v>110</v>
      </c>
      <c r="B13" s="5"/>
      <c r="C13" s="14"/>
      <c r="D13" s="36">
        <f>SUM(D4:D8,D10,D12)</f>
        <v>72142.74</v>
      </c>
    </row>
    <row r="14">
      <c r="A14" s="34" t="s">
        <v>111</v>
      </c>
      <c r="B14" s="2"/>
      <c r="C14" s="2"/>
      <c r="D14" s="3"/>
    </row>
    <row r="15">
      <c r="A15" s="15" t="s">
        <v>112</v>
      </c>
      <c r="B15" s="5"/>
      <c r="C15" s="54">
        <f>'5.5 – Estimativa do faturamento'!$D$7</f>
        <v>420732</v>
      </c>
      <c r="D15" s="36">
        <f t="shared" ref="D15:D17" si="2">C15*B15</f>
        <v>0</v>
      </c>
    </row>
    <row r="16">
      <c r="A16" s="15" t="s">
        <v>113</v>
      </c>
      <c r="B16" s="58"/>
      <c r="C16" s="54">
        <f>'5.5 – Estimativa do faturamento'!$D$7</f>
        <v>420732</v>
      </c>
      <c r="D16" s="36">
        <f t="shared" si="2"/>
        <v>0</v>
      </c>
    </row>
    <row r="17">
      <c r="A17" s="15" t="s">
        <v>114</v>
      </c>
      <c r="B17" s="57">
        <v>0.0296</v>
      </c>
      <c r="C17" s="54">
        <f>'5.5 – Estimativa do faturamento'!$D$7</f>
        <v>420732</v>
      </c>
      <c r="D17" s="36">
        <f t="shared" si="2"/>
        <v>12453.6672</v>
      </c>
    </row>
    <row r="18">
      <c r="A18" s="25" t="s">
        <v>53</v>
      </c>
      <c r="B18" s="5"/>
      <c r="C18" s="5"/>
      <c r="D18" s="59">
        <f>SUM(D15:D17)</f>
        <v>12453.6672</v>
      </c>
    </row>
    <row r="19">
      <c r="A19" s="25" t="s">
        <v>115</v>
      </c>
      <c r="B19" s="5"/>
      <c r="C19" s="5"/>
      <c r="D19" s="60">
        <f>SUM(D18,D13)</f>
        <v>84596.4072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D2"/>
    <mergeCell ref="A3:D3"/>
    <mergeCell ref="A9:D9"/>
    <mergeCell ref="A11:D11"/>
    <mergeCell ref="A14:D14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0.43"/>
    <col customWidth="1" min="3" max="3" width="48.86"/>
    <col customWidth="1" min="4" max="4" width="17.57"/>
    <col customWidth="1" min="5" max="26" width="67.57"/>
  </cols>
  <sheetData>
    <row r="1">
      <c r="A1" s="6" t="s">
        <v>86</v>
      </c>
      <c r="B1" s="6" t="s">
        <v>116</v>
      </c>
      <c r="C1" s="6" t="s">
        <v>117</v>
      </c>
      <c r="D1" s="6" t="s">
        <v>118</v>
      </c>
    </row>
    <row r="2">
      <c r="A2" s="6">
        <v>1.0</v>
      </c>
      <c r="B2" s="15"/>
      <c r="C2" s="14"/>
      <c r="D2" s="36">
        <f t="shared" ref="D2:D7" si="1">B2*C2</f>
        <v>0</v>
      </c>
    </row>
    <row r="3">
      <c r="A3" s="6">
        <v>2.0</v>
      </c>
      <c r="B3" s="15"/>
      <c r="C3" s="14"/>
      <c r="D3" s="36">
        <f t="shared" si="1"/>
        <v>0</v>
      </c>
    </row>
    <row r="4">
      <c r="A4" s="6">
        <v>3.0</v>
      </c>
      <c r="B4" s="15"/>
      <c r="C4" s="14"/>
      <c r="D4" s="36">
        <f t="shared" si="1"/>
        <v>0</v>
      </c>
    </row>
    <row r="5">
      <c r="A5" s="6">
        <v>4.0</v>
      </c>
      <c r="B5" s="15"/>
      <c r="C5" s="14"/>
      <c r="D5" s="36">
        <f t="shared" si="1"/>
        <v>0</v>
      </c>
    </row>
    <row r="6">
      <c r="A6" s="6">
        <v>5.0</v>
      </c>
      <c r="B6" s="15"/>
      <c r="C6" s="14"/>
      <c r="D6" s="36">
        <f t="shared" si="1"/>
        <v>0</v>
      </c>
    </row>
    <row r="7">
      <c r="A7" s="6">
        <v>6.0</v>
      </c>
      <c r="B7" s="15"/>
      <c r="C7" s="14"/>
      <c r="D7" s="36">
        <f t="shared" si="1"/>
        <v>0</v>
      </c>
    </row>
    <row r="8">
      <c r="A8" s="50" t="s">
        <v>4</v>
      </c>
      <c r="B8" s="2"/>
      <c r="C8" s="3"/>
      <c r="D8" s="51">
        <f>SUM(D2:D7)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C8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0.29"/>
    <col customWidth="1" min="3" max="3" width="21.29"/>
    <col customWidth="1" min="4" max="4" width="26.0"/>
    <col customWidth="1" min="5" max="5" width="22.86"/>
    <col customWidth="1" min="6" max="6" width="16.0"/>
    <col customWidth="1" min="7" max="26" width="8.71"/>
  </cols>
  <sheetData>
    <row r="1">
      <c r="A1" s="61" t="s">
        <v>119</v>
      </c>
      <c r="B1" s="61" t="s">
        <v>120</v>
      </c>
      <c r="C1" s="61" t="s">
        <v>121</v>
      </c>
      <c r="D1" s="61" t="s">
        <v>122</v>
      </c>
      <c r="E1" s="61" t="s">
        <v>123</v>
      </c>
      <c r="F1" s="61" t="s">
        <v>95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1" t="s">
        <v>124</v>
      </c>
      <c r="B2" s="61">
        <v>1.0</v>
      </c>
      <c r="C2" s="63">
        <v>3943.65</v>
      </c>
      <c r="D2" s="64">
        <v>0.7</v>
      </c>
      <c r="E2" s="65">
        <f t="shared" ref="E2:E6" si="1">C2*D2</f>
        <v>2760.555</v>
      </c>
      <c r="F2" s="65">
        <f t="shared" ref="F2:F6" si="2">B2*(SUM(C2,E2))</f>
        <v>6704.205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1" t="s">
        <v>125</v>
      </c>
      <c r="B3" s="61">
        <v>1.0</v>
      </c>
      <c r="C3" s="66">
        <v>3659.0</v>
      </c>
      <c r="D3" s="64">
        <v>0.7</v>
      </c>
      <c r="E3" s="65">
        <f t="shared" si="1"/>
        <v>2561.3</v>
      </c>
      <c r="F3" s="65">
        <f t="shared" si="2"/>
        <v>6220.3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1" t="s">
        <v>126</v>
      </c>
      <c r="B4" s="61">
        <v>1.0</v>
      </c>
      <c r="C4" s="67">
        <v>3508.1</v>
      </c>
      <c r="D4" s="64">
        <v>0.7</v>
      </c>
      <c r="E4" s="65">
        <f t="shared" si="1"/>
        <v>2455.67</v>
      </c>
      <c r="F4" s="65">
        <f t="shared" si="2"/>
        <v>5963.77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1"/>
      <c r="B5" s="61"/>
      <c r="C5" s="68"/>
      <c r="D5" s="64"/>
      <c r="E5" s="65">
        <f t="shared" si="1"/>
        <v>0</v>
      </c>
      <c r="F5" s="65">
        <f t="shared" si="2"/>
        <v>0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1"/>
      <c r="B6" s="61"/>
      <c r="C6" s="68"/>
      <c r="D6" s="64"/>
      <c r="E6" s="65">
        <f t="shared" si="1"/>
        <v>0</v>
      </c>
      <c r="F6" s="65">
        <f t="shared" si="2"/>
        <v>0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9" t="s">
        <v>4</v>
      </c>
      <c r="B7" s="2"/>
      <c r="C7" s="2"/>
      <c r="D7" s="2"/>
      <c r="E7" s="3"/>
      <c r="F7" s="70">
        <f>SUM(F2:F6)</f>
        <v>18888.275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1">
    <mergeCell ref="A7:E7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29.86"/>
    <col customWidth="1" min="3" max="26" width="8.71"/>
  </cols>
  <sheetData>
    <row r="1">
      <c r="A1" s="12" t="s">
        <v>1</v>
      </c>
      <c r="B1" s="12" t="s">
        <v>127</v>
      </c>
    </row>
    <row r="2">
      <c r="A2" s="15" t="s">
        <v>128</v>
      </c>
      <c r="B2" s="71">
        <v>0.0</v>
      </c>
    </row>
    <row r="3">
      <c r="A3" s="15" t="s">
        <v>129</v>
      </c>
      <c r="B3" s="71">
        <v>0.0</v>
      </c>
    </row>
    <row r="4">
      <c r="A4" s="15" t="s">
        <v>130</v>
      </c>
      <c r="B4" s="71">
        <v>0.0</v>
      </c>
    </row>
    <row r="5">
      <c r="A5" s="15" t="s">
        <v>131</v>
      </c>
      <c r="B5" s="71">
        <v>0.0</v>
      </c>
    </row>
    <row r="6">
      <c r="A6" s="15" t="s">
        <v>132</v>
      </c>
      <c r="B6" s="71">
        <v>0.0</v>
      </c>
    </row>
    <row r="7">
      <c r="A7" s="15" t="s">
        <v>133</v>
      </c>
      <c r="B7" s="71">
        <v>89.0</v>
      </c>
    </row>
    <row r="8">
      <c r="A8" s="15" t="s">
        <v>134</v>
      </c>
      <c r="B8" s="41">
        <v>350.0</v>
      </c>
    </row>
    <row r="9">
      <c r="A9" s="15" t="s">
        <v>135</v>
      </c>
      <c r="B9" s="71">
        <v>6000.0</v>
      </c>
    </row>
    <row r="10">
      <c r="A10" s="15" t="s">
        <v>136</v>
      </c>
      <c r="B10" s="71">
        <v>100.0</v>
      </c>
    </row>
    <row r="11">
      <c r="A11" s="15" t="s">
        <v>137</v>
      </c>
      <c r="B11" s="71">
        <v>18888.28</v>
      </c>
    </row>
    <row r="12">
      <c r="A12" s="15" t="s">
        <v>138</v>
      </c>
      <c r="B12" s="71">
        <v>40.0</v>
      </c>
    </row>
    <row r="13">
      <c r="A13" s="15" t="s">
        <v>139</v>
      </c>
      <c r="B13" s="71">
        <v>30.0</v>
      </c>
    </row>
    <row r="14">
      <c r="A14" s="15" t="s">
        <v>140</v>
      </c>
      <c r="B14" s="71">
        <v>180.0</v>
      </c>
    </row>
    <row r="15">
      <c r="A15" s="15" t="s">
        <v>141</v>
      </c>
      <c r="B15" s="71">
        <v>80.0</v>
      </c>
    </row>
    <row r="16">
      <c r="A16" s="15" t="s">
        <v>142</v>
      </c>
      <c r="B16" s="71">
        <v>0.0</v>
      </c>
    </row>
    <row r="17">
      <c r="A17" s="15" t="s">
        <v>143</v>
      </c>
      <c r="B17" s="71">
        <v>50.0</v>
      </c>
    </row>
    <row r="18">
      <c r="A18" s="15" t="s">
        <v>144</v>
      </c>
      <c r="B18" s="71">
        <v>350.0</v>
      </c>
    </row>
    <row r="19">
      <c r="A19" s="6" t="s">
        <v>4</v>
      </c>
      <c r="B19" s="39">
        <f>SUM(B2:B18)*12</f>
        <v>313887.36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29.57"/>
    <col customWidth="1" min="3" max="3" width="16.43"/>
    <col customWidth="1" min="4" max="5" width="14.29"/>
  </cols>
  <sheetData>
    <row r="1">
      <c r="A1" s="72"/>
      <c r="B1" s="72"/>
      <c r="C1" s="62"/>
      <c r="D1" s="4"/>
      <c r="E1" s="4"/>
    </row>
    <row r="2">
      <c r="A2" s="12" t="s">
        <v>145</v>
      </c>
      <c r="B2" s="12" t="s">
        <v>1</v>
      </c>
      <c r="C2" s="73"/>
      <c r="D2" s="33"/>
      <c r="E2" s="33"/>
    </row>
    <row r="3">
      <c r="A3" s="12" t="s">
        <v>146</v>
      </c>
      <c r="B3" s="12" t="s">
        <v>147</v>
      </c>
      <c r="C3" s="74">
        <f>'5.5 – Estimativa do faturamento'!D7</f>
        <v>420732</v>
      </c>
      <c r="D3" s="75"/>
      <c r="E3" s="75"/>
    </row>
    <row r="4">
      <c r="A4" s="53"/>
      <c r="B4" s="12" t="s">
        <v>148</v>
      </c>
      <c r="C4" s="76">
        <f>SUM(C5:C7)</f>
        <v>-84596.4072</v>
      </c>
      <c r="D4" s="75"/>
      <c r="E4" s="75"/>
    </row>
    <row r="5">
      <c r="A5" s="12" t="s">
        <v>149</v>
      </c>
      <c r="B5" s="12" t="s">
        <v>150</v>
      </c>
      <c r="C5" s="76">
        <f>-'5.8 - CMD CMV'!D8</f>
        <v>0</v>
      </c>
      <c r="D5" s="75"/>
      <c r="E5" s="75"/>
    </row>
    <row r="6">
      <c r="A6" s="12" t="s">
        <v>151</v>
      </c>
      <c r="B6" s="12" t="s">
        <v>152</v>
      </c>
      <c r="C6" s="76">
        <f>-'5.7 – Estimativa dos custos de'!D13</f>
        <v>-72142.74</v>
      </c>
      <c r="D6" s="75"/>
      <c r="E6" s="75"/>
    </row>
    <row r="7">
      <c r="A7" s="12" t="s">
        <v>151</v>
      </c>
      <c r="B7" s="12" t="s">
        <v>153</v>
      </c>
      <c r="C7" s="76">
        <f>-'5.7 – Estimativa dos custos de'!D18</f>
        <v>-12453.6672</v>
      </c>
      <c r="D7" s="75"/>
      <c r="E7" s="75"/>
    </row>
    <row r="8">
      <c r="A8" s="53"/>
      <c r="B8" s="12" t="s">
        <v>53</v>
      </c>
      <c r="C8" s="76">
        <f>C4</f>
        <v>-84596.4072</v>
      </c>
      <c r="D8" s="75"/>
      <c r="E8" s="75"/>
    </row>
    <row r="9">
      <c r="A9" s="53"/>
      <c r="B9" s="12" t="s">
        <v>154</v>
      </c>
      <c r="C9" s="74">
        <f>C3+C4</f>
        <v>336135.5928</v>
      </c>
      <c r="D9" s="75"/>
      <c r="E9" s="75"/>
    </row>
    <row r="10">
      <c r="A10" s="12" t="s">
        <v>155</v>
      </c>
      <c r="B10" s="12" t="s">
        <v>156</v>
      </c>
      <c r="C10" s="77">
        <f>-'5.11 - custos fixos operacionai'!B19</f>
        <v>-313887.36</v>
      </c>
      <c r="D10" s="75"/>
      <c r="E10" s="75"/>
    </row>
    <row r="11">
      <c r="A11" s="53"/>
      <c r="B11" s="12" t="s">
        <v>157</v>
      </c>
      <c r="C11" s="78">
        <f>C9+C10</f>
        <v>22248.2328</v>
      </c>
      <c r="D11" s="75"/>
      <c r="E11" s="7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3.43"/>
  </cols>
  <sheetData>
    <row r="1">
      <c r="A1" s="4" t="s">
        <v>158</v>
      </c>
      <c r="B1" s="79">
        <f>SUM('5.12 - Demonstrativo de Resulta'!C3)</f>
        <v>420732</v>
      </c>
    </row>
    <row r="2">
      <c r="A2" s="4" t="s">
        <v>159</v>
      </c>
      <c r="B2" s="79">
        <f>-SUM('5.12 - Demonstrativo de Resulta'!C4)</f>
        <v>84596.4072</v>
      </c>
    </row>
    <row r="3">
      <c r="A3" s="4" t="s">
        <v>160</v>
      </c>
      <c r="B3" s="79">
        <f>-SUM('5.12 - Demonstrativo de Resulta'!C10)</f>
        <v>313887.36</v>
      </c>
    </row>
    <row r="4">
      <c r="A4" s="4" t="s">
        <v>161</v>
      </c>
      <c r="B4" s="80">
        <f>(B1-B2)/B1</f>
        <v>0.7989304184</v>
      </c>
    </row>
    <row r="5">
      <c r="A5" s="4" t="s">
        <v>162</v>
      </c>
      <c r="B5" s="79">
        <f>B3/B4</f>
        <v>392884.4775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4" t="s">
        <v>163</v>
      </c>
      <c r="B1" s="81">
        <f>SUM('5.12 - Demonstrativo de Resulta'!C11)</f>
        <v>22248.2328</v>
      </c>
    </row>
    <row r="2">
      <c r="A2" s="4" t="s">
        <v>164</v>
      </c>
      <c r="B2" s="81">
        <f>SUM('5.12 - Demonstrativo de Resulta'!C3)</f>
        <v>420732</v>
      </c>
    </row>
    <row r="3">
      <c r="A3" s="4" t="s">
        <v>165</v>
      </c>
      <c r="B3" s="82">
        <f>(B1/B2)</f>
        <v>0.05287982088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</cols>
  <sheetData>
    <row r="1">
      <c r="A1" s="4" t="s">
        <v>163</v>
      </c>
      <c r="B1" s="81">
        <f>SUM('5.12 - Demonstrativo de Resulta'!C11)</f>
        <v>22248.2328</v>
      </c>
    </row>
    <row r="2">
      <c r="A2" s="4" t="s">
        <v>166</v>
      </c>
      <c r="B2" s="81">
        <f>'5.4 - Investimento total (resum'!B11</f>
        <v>139600</v>
      </c>
    </row>
    <row r="3">
      <c r="A3" s="4" t="s">
        <v>167</v>
      </c>
      <c r="B3" s="82">
        <f>B1/B2</f>
        <v>0.1593712951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0"/>
  </cols>
  <sheetData>
    <row r="1">
      <c r="A1" s="4" t="s">
        <v>166</v>
      </c>
      <c r="B1" s="81">
        <f>'5.4 - Investimento total (resum'!B11</f>
        <v>139600</v>
      </c>
    </row>
    <row r="2">
      <c r="A2" s="4" t="s">
        <v>163</v>
      </c>
      <c r="B2" s="81">
        <f>SUM('5.12 - Demonstrativo de Resulta'!C11)</f>
        <v>22248.2328</v>
      </c>
    </row>
    <row r="3">
      <c r="A3" s="4" t="s">
        <v>168</v>
      </c>
      <c r="B3" s="83">
        <f>B1/B2</f>
        <v>6.274655666</v>
      </c>
      <c r="C3" s="4" t="s">
        <v>169</v>
      </c>
    </row>
    <row r="6" ht="15.0" customHeight="1">
      <c r="B6" s="84">
        <v>22248.23</v>
      </c>
      <c r="C6" s="85">
        <v>12.0</v>
      </c>
    </row>
    <row r="7" ht="15.0" customHeight="1">
      <c r="B7" s="85">
        <v>100.0</v>
      </c>
      <c r="C7" s="4" t="s">
        <v>170</v>
      </c>
    </row>
    <row r="8" ht="15.0" customHeight="1">
      <c r="B8" s="85">
        <f>B7*C6</f>
        <v>1200</v>
      </c>
    </row>
    <row r="9" ht="15.0" customHeight="1">
      <c r="B9" s="85">
        <f>B8/B6</f>
        <v>0.05393687498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2024-08-02T14:01:56Z</dcterms:created>
  <dc:creator>Jorge Luciano</dc:creator>
</cp:coreProperties>
</file>